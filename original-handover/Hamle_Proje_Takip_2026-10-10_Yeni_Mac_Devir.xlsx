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72102052d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3cbc152fd2b74025"/>
    <x:sheet xmlns:r="http://schemas.openxmlformats.org/officeDocument/2006/relationships" name="İş Listesi" sheetId="2" r:id="Rd2699e7207e144c4"/>
    <x:sheet xmlns:r="http://schemas.openxmlformats.org/officeDocument/2006/relationships" name="Girdiler ve Kararlar" sheetId="3" r:id="R266a8d4be13e4378"/>
    <x:sheet xmlns:r="http://schemas.openxmlformats.org/officeDocument/2006/relationships" name="Yeni Mac Devir" sheetId="4" r:id="Rbe02f17296fe49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"/>
    <x:numFmt numFmtId="202" formatCode="yyyy-mm-dd"/>
    <x:numFmt numFmtId="203" formatCode=";;;"/>
    <x:numFmt numFmtId="204" formatCode="0%"/>
    <x:numFmt numFmtId="205" formatCode="0.0%"/>
  </x:numFmts>
  <x:fonts count="7">
    <x:font>
      <x:sz val="11"/>
      <x:name val="Carlito"/>
    </x:font>
    <x:font>
      <x:sz val="10"/>
      <x:color rgb="FF24364B"/>
      <x:name val="Arial"/>
    </x:font>
    <x:font>
      <x:b/>
      <x:sz val="16"/>
      <x:color rgb="FF172A46"/>
      <x:name val="Arial"/>
    </x:font>
    <x:font>
      <x:sz val="10"/>
      <x:color rgb="FF697A8C"/>
      <x:name val="Arial"/>
    </x:font>
    <x:font>
      <x:b/>
      <x:sz val="10"/>
      <x:color rgb="FFFFFFFF"/>
      <x:name val="Arial"/>
    </x:font>
    <x:font>
      <x:b/>
      <x:sz val="10"/>
      <x:color rgb="FF697A8C"/>
      <x:name val="Arial"/>
    </x:font>
    <x:font>
      <x:b/>
      <x:sz val="10"/>
      <x:color rgb="FF172A46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A46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FFF3CB"/>
      </x:patternFill>
    </x:fill>
    <x:fill>
      <x:patternFill patternType="solid">
        <x:fgColor rgb="FFEAF0F7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rgb="FF172A4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172A46"/>
      </x:top>
      <x:bottom/>
      <x:diagonal/>
    </x:border>
  </x:borders>
  <x:cellStyleXfs count="1">
    <x:xf numFmtId="0" fontId="0" fillId="0" borderId="0"/>
  </x:cellStyleXfs>
  <x:cellXfs count="6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1" fillId="4" borderId="0" xfId="0" applyNumberFormat="1" applyFont="1" applyFill="1" applyBorder="1" applyAlignment="1">
      <x:alignment horizontal="right" vertical="top" wrapText="1"/>
    </x:xf>
    <x:xf numFmtId="200" fontId="1" fillId="5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4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204" fontId="2" fillId="6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vertical="center"/>
    </x:xf>
    <x:xf numFmtId="204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vertical="center"/>
    </x:xf>
    <x:xf numFmtId="204" fontId="6" fillId="6" borderId="0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201" fontId="6" fillId="6" borderId="5" xfId="0" applyNumberFormat="1" applyFont="1" applyFill="1" applyBorder="1" applyAlignment="1">
      <x:alignment vertical="center"/>
    </x:xf>
    <x:xf numFmtId="204" fontId="6" fillId="6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285641"/>
      </x:font>
      <x:fill>
        <x:patternFill patternType="solid">
          <x:bgColor rgb="FFDDEDE5"/>
        </x:patternFill>
      </x:fill>
    </x:dxf>
    <x:dxf>
      <x:font>
        <x:color rgb="FF805019"/>
      </x:font>
      <x:fill>
        <x:patternFill patternType="solid">
          <x:bgColor rgb="FFFCE5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7e4ae78044658" /><Relationship Type="http://schemas.openxmlformats.org/officeDocument/2006/relationships/theme" Target="/xl/theme/theme1.xml" Id="Rd9cf54ebafab4af4" /><Relationship Type="http://schemas.openxmlformats.org/officeDocument/2006/relationships/sharedStrings" Target="/xl/sharedStrings.xml" Id="Rb0bc18de7cb94c05" /><Relationship Type="http://schemas.openxmlformats.org/officeDocument/2006/relationships/worksheet" Target="/xl/worksheets/sheet1.xml" Id="R3cbc152fd2b74025" /><Relationship Type="http://schemas.openxmlformats.org/officeDocument/2006/relationships/worksheet" Target="/xl/worksheets/sheet2.xml" Id="Rd2699e7207e144c4" /><Relationship Type="http://schemas.openxmlformats.org/officeDocument/2006/relationships/worksheet" Target="/xl/worksheets/sheet3.xml" Id="R266a8d4be13e4378" /><Relationship Type="http://schemas.openxmlformats.org/officeDocument/2006/relationships/worksheet" Target="/xl/worksheets/sheet4.xml" Id="Rbe02f17296fe49d4" /></Relationships>
</file>

<file path=xl/tables/table1.xml><?xml version="1.0" encoding="utf-8"?>
<x:table xmlns:x="http://schemas.openxmlformats.org/spreadsheetml/2006/main" id="1" name="HamleTasks" displayName="HamleTasks" ref="A6:N71" headerRowCount="1" totalsRowCount="0" totalsRowShown="0">
  <x:autoFilter ref="A6:N71"/>
  <x:tableColumns count="14">
    <x:tableColumn id="1" name="Kod"/>
    <x:tableColumn id="2" name="İş / aksiyon"/>
    <x:tableColumn id="3" name="İş paketi"/>
    <x:tableColumn id="4" name="Öncelik"/>
    <x:tableColumn id="5" name="Sorumlu"/>
    <x:tableColumn id="6" name="Çalışma durumu"/>
    <x:tableColumn id="7" name="Tamamlandı 0 / 1"/>
    <x:tableColumn id="8" name="Ağırlık puanı"/>
    <x:tableColumn id="9" name="Önce bitmesi gereken"/>
    <x:tableColumn id="10" name="Tamamlanma / kabul ölçütü"/>
    <x:tableColumn id="11" name="Hedef tarih"/>
    <x:tableColumn id="12" name="Güncel not / sonraki adım"/>
    <x:tableColumn id="13" name=" "/>
    <x:tableColumn id="14" name="Kayıt / kanı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HamleInputs" displayName="HamleInputs" ref="A6:J20" headerRowCount="1" totalsRowCount="0" totalsRowShown="0">
  <x:autoFilter ref="A6:J20"/>
  <x:tableColumns count="10">
    <x:tableColumn id="1" name="Kod"/>
    <x:tableColumn id="2" name="Gerekli bilgi / karar"/>
    <x:tableColumn id="3" name="Sorumlu"/>
    <x:tableColumn id="4" name="Gerekli aşama"/>
    <x:tableColumn id="5" name="Mevcut durum"/>
    <x:tableColumn id="6" name="Yanıt / karar"/>
    <x:tableColumn id="7" name="Etkilenen işler"/>
    <x:tableColumn id="8" name="Tamamlanma ölçütü"/>
    <x:tableColumn id="9" name=" "/>
    <x:tableColumn id="10" name="Kayıt / kaynak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b51f03b3f340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182c7f624c40ac" /></Relationships>
</file>

<file path=xl/worksheets/sheet1.xml><?xml version="1.0" encoding="utf-8"?>
<x:worksheet xmlns:x="http://schemas.openxmlformats.org/spreadsheetml/2006/main">
  <x:sheetPr>
    <x:tabColor rgb="FF172A46"/>
  </x:sheetPr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15" hidden="0" customWidth="1"/>
    <x:col min="4" max="4" width="16" hidden="0" customWidth="1"/>
    <x:col min="5" max="5" width="17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Gamechangers Hamle proje takibi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/>
      <x:c r="B3" s="4"/>
      <x:c r="C3" s="4"/>
      <x:c r="D3" s="4"/>
      <x:c r="E3" s="4"/>
      <x:c r="F3" s="4"/>
      <x:c r="G3" s="4"/>
      <x:c r="H3" s="4"/>
    </x:row>
    <x:row r="4" ht="24" customHeight="1">
      <x:c r="A4" s="2" t="str">
        <x:v>Belge tarihi</x:v>
      </x:c>
      <x:c r="B4" s="36" t="n">
        <x:v>46305</x:v>
      </x:c>
      <x:c r="C4" s="2" t="str">
        <x:v>Kanıt tarihi</x:v>
      </x:c>
      <x:c r="D4" s="2" t="str">
        <x:v>09.10 · 23.59</x:v>
      </x:c>
      <x:c r="E4" s="2" t="str">
        <x:v>V1 başlangıcı</x:v>
      </x:c>
      <x:c r="F4" s="2" t="str">
        <x:v>22 puan / 15 iş</x:v>
      </x:c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37" t="str">
        <x:v>Tamamlanan</x:v>
      </x:c>
      <x:c r="B6" s="41" t="n">
        <x:f>D23/C23</x:f>
        <x:v>0.27</x:v>
      </x:c>
      <x:c r="C6" s="37" t="str">
        <x:v>Kalan</x:v>
      </x:c>
      <x:c r="D6" s="41" t="n">
        <x:f>1-B6</x:f>
        <x:v>0.73</x:v>
      </x:c>
      <x:c r="E6" s="37" t="str">
        <x:v>Açık iş</x:v>
      </x:c>
      <x:c r="F6" s="40" t="n">
        <x:f>SUM(G14:G22)</x:f>
        <x:v>46</x:v>
      </x:c>
      <x:c r="G6" s="37" t="str">
        <x:v>Biten iş</x:v>
      </x:c>
      <x:c r="H6" s="40" t="n">
        <x:f>SUM(H14:H22)</x:f>
        <x:v>19</x:v>
      </x:c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24" customHeight="1">
      <x:c r="A8" s="2" t="str">
        <x:v>Canlı ajan</x:v>
      </x:c>
      <x:c r="B8" s="43" t="n">
        <x:v>0</x:v>
      </x:c>
      <x:c r="C8" s="2" t="str">
        <x:v>Hedef ajan</x:v>
      </x:c>
      <x:c r="D8" s="44" t="n">
        <x:v>4</x:v>
      </x:c>
      <x:c r="E8" s="2" t="str">
        <x:v>Cloud çalışması</x:v>
      </x:c>
      <x:c r="F8" s="42" t="str">
        <x:v>Henüz yok</x:v>
      </x:c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3" customHeight="1">
      <x:c r="A10" s="5" t="str">
        <x:v>Bu belge için önerilen yönetim başlangıcı: kabulü tamamlanan işlerin 100 puan içindeki ağırlık toplamı.</x:v>
      </x:c>
      <x:c r="B10" s="5"/>
      <x:c r="C10" s="5"/>
      <x:c r="D10" s="5"/>
      <x:c r="E10" s="5"/>
      <x:c r="F10" s="5"/>
      <x:c r="G10" s="5"/>
      <x:c r="H10" s="5"/>
    </x:row>
    <x:row r="11" ht="23" customHeight="1">
      <x:c r="A11" s="5" t="str">
        <x:v>Süre, yapay zekâ öğrenme seviyesi veya canlıda çalışma yüzdesi değildir. Açık işler kısmi puan almaz.</x:v>
      </x:c>
      <x:c r="B11" s="5"/>
      <x:c r="C11" s="5"/>
      <x:c r="D11" s="5"/>
      <x:c r="E11" s="5"/>
      <x:c r="F11" s="5"/>
      <x:c r="G11" s="5"/>
      <x:c r="H11" s="5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34" customHeight="1">
      <x:c r="A13" s="14" t="str">
        <x:v>Kod</x:v>
      </x:c>
      <x:c r="B13" s="15" t="str">
        <x:v>İş paketi</x:v>
      </x:c>
      <x:c r="C13" s="15" t="str">
        <x:v>Toplam puan</x:v>
      </x:c>
      <x:c r="D13" s="15" t="str">
        <x:v>Tamam puan</x:v>
      </x:c>
      <x:c r="E13" s="15" t="str">
        <x:v>Paket ilerleme</x:v>
      </x:c>
      <x:c r="F13" s="15" t="str">
        <x:v>Kalan puan</x:v>
      </x:c>
      <x:c r="G13" s="15" t="str">
        <x:v>Açık iş</x:v>
      </x:c>
      <x:c r="H13" s="16" t="str">
        <x:v>Biten iş</x:v>
      </x:c>
    </x:row>
    <x:row r="14" ht="32" customHeight="1">
      <x:c r="A14" s="2" t="str">
        <x:v>A</x:v>
      </x:c>
      <x:c r="B14" s="2" t="str">
        <x:v>Yönetim ve yetkiler</x:v>
      </x:c>
      <x:c r="C14" s="48" t="n">
        <x:f>SUMIFS('İş Listesi'!$H$7:$H$71,'İş Listesi'!$C$7:$C$71,"A · Yönetim ve yetkiler")</x:f>
        <x:v>8</x:v>
      </x:c>
      <x:c r="D14" s="48" t="n">
        <x:f>SUMIFS('İş Listesi'!$H$7:$H$71,'İş Listesi'!$C$7:$C$71,"A · Yönetim ve yetkiler",'İş Listesi'!$G$7:$G$71,1)</x:f>
        <x:v>5</x:v>
      </x:c>
      <x:c r="E14" s="46" t="n">
        <x:f>D14/C14</x:f>
        <x:v>0.625</x:v>
      </x:c>
      <x:c r="F14" s="48" t="n">
        <x:f>C14-D14</x:f>
        <x:v>3</x:v>
      </x:c>
      <x:c r="G14" s="2" t="n">
        <x:f>COUNTIFS('İş Listesi'!$C$7:$C$71,"A · Yönetim ve yetkiler")-H14</x:f>
        <x:v>3</x:v>
      </x:c>
      <x:c r="H14" s="2" t="n">
        <x:f>COUNTIFS('İş Listesi'!$C$7:$C$71,"A · Yönetim ve yetkiler",'İş Listesi'!$G$7:$G$71,1)</x:f>
        <x:v>3</x:v>
      </x:c>
    </x:row>
    <x:row r="15" ht="32" customHeight="1">
      <x:c r="A15" s="45" t="str">
        <x:v>B</x:v>
      </x:c>
      <x:c r="B15" s="45" t="str">
        <x:v>Bağlantılar</x:v>
      </x:c>
      <x:c r="C15" s="49" t="n">
        <x:f>SUMIFS('İş Listesi'!$H$7:$H$71,'İş Listesi'!$C$7:$C$71,"B · Bağlantılar")</x:f>
        <x:v>14</x:v>
      </x:c>
      <x:c r="D15" s="49" t="n">
        <x:f>SUMIFS('İş Listesi'!$H$7:$H$71,'İş Listesi'!$C$7:$C$71,"B · Bağlantılar",'İş Listesi'!$G$7:$G$71,1)</x:f>
        <x:v>12</x:v>
      </x:c>
      <x:c r="E15" s="47" t="n">
        <x:f>D15/C15</x:f>
        <x:v>0.8571428571428571</x:v>
      </x:c>
      <x:c r="F15" s="49" t="n">
        <x:f>C15-D15</x:f>
        <x:v>2</x:v>
      </x:c>
      <x:c r="G15" s="45" t="n">
        <x:f>COUNTIFS('İş Listesi'!$C$7:$C$71,"B · Bağlantılar")-H15</x:f>
        <x:v>2</x:v>
      </x:c>
      <x:c r="H15" s="45" t="n">
        <x:f>COUNTIFS('İş Listesi'!$C$7:$C$71,"B · Bağlantılar",'İş Listesi'!$G$7:$G$71,1)</x:f>
        <x:v>10</x:v>
      </x:c>
    </x:row>
    <x:row r="16" ht="32" customHeight="1">
      <x:c r="A16" s="2" t="str">
        <x:v>C</x:v>
      </x:c>
      <x:c r="B16" s="2" t="str">
        <x:v>Marka bilgisi</x:v>
      </x:c>
      <x:c r="C16" s="48" t="n">
        <x:f>SUMIFS('İş Listesi'!$H$7:$H$71,'İş Listesi'!$C$7:$C$71,"C · Marka bilgisi")</x:f>
        <x:v>14</x:v>
      </x:c>
      <x:c r="D16" s="48" t="n">
        <x:f>SUMIFS('İş Listesi'!$H$7:$H$71,'İş Listesi'!$C$7:$C$71,"C · Marka bilgisi",'İş Listesi'!$G$7:$G$71,1)</x:f>
        <x:v>6</x:v>
      </x:c>
      <x:c r="E16" s="46" t="n">
        <x:f>D16/C16</x:f>
        <x:v>0.42857142857142855</x:v>
      </x:c>
      <x:c r="F16" s="48" t="n">
        <x:f>C16-D16</x:f>
        <x:v>8</x:v>
      </x:c>
      <x:c r="G16" s="2" t="n">
        <x:f>COUNTIFS('İş Listesi'!$C$7:$C$71,"C · Marka bilgisi")-H16</x:f>
        <x:v>6</x:v>
      </x:c>
      <x:c r="H16" s="2" t="n">
        <x:f>COUNTIFS('İş Listesi'!$C$7:$C$71,"C · Marka bilgisi",'İş Listesi'!$G$7:$G$71,1)</x:f>
        <x:v>3</x:v>
      </x:c>
    </x:row>
    <x:row r="17" ht="32" customHeight="1">
      <x:c r="A17" s="45" t="str">
        <x:v>D</x:v>
      </x:c>
      <x:c r="B17" s="45" t="str">
        <x:v>Bulut işletimi</x:v>
      </x:c>
      <x:c r="C17" s="49" t="n">
        <x:f>SUMIFS('İş Listesi'!$H$7:$H$71,'İş Listesi'!$C$7:$C$71,"D · Bulut işletimi")</x:f>
        <x:v>16</x:v>
      </x:c>
      <x:c r="D17" s="49" t="n">
        <x:f>SUMIFS('İş Listesi'!$H$7:$H$71,'İş Listesi'!$C$7:$C$71,"D · Bulut işletimi",'İş Listesi'!$G$7:$G$71,1)</x:f>
        <x:v>1</x:v>
      </x:c>
      <x:c r="E17" s="47" t="n">
        <x:f>D17/C17</x:f>
        <x:v>0.0625</x:v>
      </x:c>
      <x:c r="F17" s="49" t="n">
        <x:f>C17-D17</x:f>
        <x:v>15</x:v>
      </x:c>
      <x:c r="G17" s="45" t="n">
        <x:f>COUNTIFS('İş Listesi'!$C$7:$C$71,"D · Bulut işletimi")-H17</x:f>
        <x:v>9</x:v>
      </x:c>
      <x:c r="H17" s="45" t="n">
        <x:f>COUNTIFS('İş Listesi'!$C$7:$C$71,"D · Bulut işletimi",'İş Listesi'!$G$7:$G$71,1)</x:f>
        <x:v>1</x:v>
      </x:c>
    </x:row>
    <x:row r="18" ht="32" customHeight="1">
      <x:c r="A18" s="2" t="str">
        <x:v>E</x:v>
      </x:c>
      <x:c r="B18" s="2" t="str">
        <x:v>Hamle iş akışı</x:v>
      </x:c>
      <x:c r="C18" s="48" t="n">
        <x:f>SUMIFS('İş Listesi'!$H$7:$H$71,'İş Listesi'!$C$7:$C$71,"E · Hamle iş akışı")</x:f>
        <x:v>16</x:v>
      </x:c>
      <x:c r="D18" s="48" t="n">
        <x:f>SUMIFS('İş Listesi'!$H$7:$H$71,'İş Listesi'!$C$7:$C$71,"E · Hamle iş akışı",'İş Listesi'!$G$7:$G$71,1)</x:f>
        <x:v>3</x:v>
      </x:c>
      <x:c r="E18" s="46" t="n">
        <x:f>D18/C18</x:f>
        <x:v>0.1875</x:v>
      </x:c>
      <x:c r="F18" s="48" t="n">
        <x:f>C18-D18</x:f>
        <x:v>13</x:v>
      </x:c>
      <x:c r="G18" s="2" t="n">
        <x:f>COUNTIFS('İş Listesi'!$C$7:$C$71,"E · Hamle iş akışı")-H18</x:f>
        <x:v>7</x:v>
      </x:c>
      <x:c r="H18" s="2" t="n">
        <x:f>COUNTIFS('İş Listesi'!$C$7:$C$71,"E · Hamle iş akışı",'İş Listesi'!$G$7:$G$71,1)</x:f>
        <x:v>2</x:v>
      </x:c>
    </x:row>
    <x:row r="19" ht="32" customHeight="1">
      <x:c r="A19" s="45" t="str">
        <x:v>F</x:v>
      </x:c>
      <x:c r="B19" s="45" t="str">
        <x:v>Metin</x:v>
      </x:c>
      <x:c r="C19" s="49" t="n">
        <x:f>SUMIFS('İş Listesi'!$H$7:$H$71,'İş Listesi'!$C$7:$C$71,"F · Metin")</x:f>
        <x:v>8</x:v>
      </x:c>
      <x:c r="D19" s="49" t="n">
        <x:f>SUMIFS('İş Listesi'!$H$7:$H$71,'İş Listesi'!$C$7:$C$71,"F · Metin",'İş Listesi'!$G$7:$G$71,1)</x:f>
        <x:v>0</x:v>
      </x:c>
      <x:c r="E19" s="47" t="n">
        <x:f>D19/C19</x:f>
        <x:v>0</x:v>
      </x:c>
      <x:c r="F19" s="49" t="n">
        <x:f>C19-D19</x:f>
        <x:v>8</x:v>
      </x:c>
      <x:c r="G19" s="45" t="n">
        <x:f>COUNTIFS('İş Listesi'!$C$7:$C$71,"F · Metin")-H19</x:f>
        <x:v>5</x:v>
      </x:c>
      <x:c r="H19" s="45" t="n">
        <x:f>COUNTIFS('İş Listesi'!$C$7:$C$71,"F · Metin",'İş Listesi'!$G$7:$G$71,1)</x:f>
        <x:v>0</x:v>
      </x:c>
    </x:row>
    <x:row r="20" ht="32" customHeight="1">
      <x:c r="A20" s="2" t="str">
        <x:v>G</x:v>
      </x:c>
      <x:c r="B20" s="2" t="str">
        <x:v>Grafik</x:v>
      </x:c>
      <x:c r="C20" s="48" t="n">
        <x:f>SUMIFS('İş Listesi'!$H$7:$H$71,'İş Listesi'!$C$7:$C$71,"G · Grafik")</x:f>
        <x:v>10</x:v>
      </x:c>
      <x:c r="D20" s="48" t="n">
        <x:f>SUMIFS('İş Listesi'!$H$7:$H$71,'İş Listesi'!$C$7:$C$71,"G · Grafik",'İş Listesi'!$G$7:$G$71,1)</x:f>
        <x:v>0</x:v>
      </x:c>
      <x:c r="E20" s="46" t="n">
        <x:f>D20/C20</x:f>
        <x:v>0</x:v>
      </x:c>
      <x:c r="F20" s="48" t="n">
        <x:f>C20-D20</x:f>
        <x:v>10</x:v>
      </x:c>
      <x:c r="G20" s="2" t="n">
        <x:f>COUNTIFS('İş Listesi'!$C$7:$C$71,"G · Grafik")-H20</x:f>
        <x:v>5</x:v>
      </x:c>
      <x:c r="H20" s="2" t="n">
        <x:f>COUNTIFS('İş Listesi'!$C$7:$C$71,"G · Grafik",'İş Listesi'!$G$7:$G$71,1)</x:f>
        <x:v>0</x:v>
      </x:c>
    </x:row>
    <x:row r="21" ht="32" customHeight="1">
      <x:c r="A21" s="45" t="str">
        <x:v>H</x:v>
      </x:c>
      <x:c r="B21" s="45" t="str">
        <x:v>Animasyon</x:v>
      </x:c>
      <x:c r="C21" s="49" t="n">
        <x:f>SUMIFS('İş Listesi'!$H$7:$H$71,'İş Listesi'!$C$7:$C$71,"H · Animasyon")</x:f>
        <x:v>6</x:v>
      </x:c>
      <x:c r="D21" s="49" t="n">
        <x:f>SUMIFS('İş Listesi'!$H$7:$H$71,'İş Listesi'!$C$7:$C$71,"H · Animasyon",'İş Listesi'!$G$7:$G$71,1)</x:f>
        <x:v>0</x:v>
      </x:c>
      <x:c r="E21" s="47" t="n">
        <x:f>D21/C21</x:f>
        <x:v>0</x:v>
      </x:c>
      <x:c r="F21" s="49" t="n">
        <x:f>C21-D21</x:f>
        <x:v>6</x:v>
      </x:c>
      <x:c r="G21" s="45" t="n">
        <x:f>COUNTIFS('İş Listesi'!$C$7:$C$71,"H · Animasyon")-H21</x:f>
        <x:v>3</x:v>
      </x:c>
      <x:c r="H21" s="45" t="n">
        <x:f>COUNTIFS('İş Listesi'!$C$7:$C$71,"H · Animasyon",'İş Listesi'!$G$7:$G$71,1)</x:f>
        <x:v>0</x:v>
      </x:c>
    </x:row>
    <x:row r="22" ht="32" customHeight="1">
      <x:c r="A22" s="2" t="str">
        <x:v>I</x:v>
      </x:c>
      <x:c r="B22" s="2" t="str">
        <x:v>Kabul ve canlı</x:v>
      </x:c>
      <x:c r="C22" s="48" t="n">
        <x:f>SUMIFS('İş Listesi'!$H$7:$H$71,'İş Listesi'!$C$7:$C$71,"I · Kabul ve canlı")</x:f>
        <x:v>8</x:v>
      </x:c>
      <x:c r="D22" s="48" t="n">
        <x:f>SUMIFS('İş Listesi'!$H$7:$H$71,'İş Listesi'!$C$7:$C$71,"I · Kabul ve canlı",'İş Listesi'!$G$7:$G$71,1)</x:f>
        <x:v>0</x:v>
      </x:c>
      <x:c r="E22" s="46" t="n">
        <x:f>D22/C22</x:f>
        <x:v>0</x:v>
      </x:c>
      <x:c r="F22" s="48" t="n">
        <x:f>C22-D22</x:f>
        <x:v>8</x:v>
      </x:c>
      <x:c r="G22" s="2" t="n">
        <x:f>COUNTIFS('İş Listesi'!$C$7:$C$71,"I · Kabul ve canlı")-H22</x:f>
        <x:v>6</x:v>
      </x:c>
      <x:c r="H22" s="2" t="n">
        <x:f>COUNTIFS('İş Listesi'!$C$7:$C$71,"I · Kabul ve canlı",'İş Listesi'!$G$7:$G$71,1)</x:f>
        <x:v>0</x:v>
      </x:c>
    </x:row>
    <x:row r="23" ht="32" customHeight="1">
      <x:c r="A23" s="56"/>
      <x:c r="B23" s="56" t="str">
        <x:v>Toplam</x:v>
      </x:c>
      <x:c r="C23" s="57" t="n">
        <x:f>SUM(C14:C22)</x:f>
        <x:v>100</x:v>
      </x:c>
      <x:c r="D23" s="57" t="n">
        <x:f>SUM(D14:D22)</x:f>
        <x:v>27</x:v>
      </x:c>
      <x:c r="E23" s="58" t="n">
        <x:f>D23/C23</x:f>
        <x:v>0.27</x:v>
      </x:c>
      <x:c r="F23" s="57" t="n">
        <x:f>SUM(F14:F22)</x:f>
        <x:v>73</x:v>
      </x:c>
      <x:c r="G23" s="56" t="n">
        <x:f>SUM(G14:G22)</x:f>
        <x:v>46</x:v>
      </x:c>
      <x:c r="H23" s="56" t="n">
        <x:f>SUM(H14:H22)</x:f>
        <x:v>19</x:v>
      </x:c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5" t="str">
        <x:v>Güncelleme</x:v>
      </x:c>
      <x:c r="B26" s="5" t="str">
        <x:v>İş Listesi: durum, 0/1, sorumlu, hedef tarih ve not alanlarını güncelleyin.</x:v>
      </x:c>
      <x:c r="C26" s="5"/>
      <x:c r="D26" s="5"/>
      <x:c r="E26" s="5"/>
      <x:c r="F26" s="5"/>
      <x:c r="G26" s="5"/>
      <x:c r="H26" s="5"/>
    </x:row>
    <x:row r="27" ht="22" customHeight="1">
      <x:c r="A27" s="5"/>
      <x:c r="B27" s="5" t="str">
        <x:v>1 yazmadan önce ilgili kabul ölçütünü ve kanıtı kontrol edin.</x:v>
      </x:c>
      <x:c r="C27" s="5"/>
      <x:c r="D27" s="5"/>
      <x:c r="E27" s="5"/>
      <x:c r="F27" s="5"/>
      <x:c r="G27" s="5"/>
      <x:c r="H27" s="5"/>
    </x:row>
    <x:row r="28" ht="22" customHeight="1">
      <x:c r="A28" s="5"/>
      <x:c r="B28" s="5" t="str">
        <x:v>Yeni iş eklemek kapsamı değiştirir. Ağırlıkları ve özet aralıklarını birlikte güncelleyin.</x:v>
      </x:c>
      <x:c r="C28" s="5"/>
      <x:c r="D28" s="5"/>
      <x:c r="E28" s="5"/>
      <x:c r="F28" s="5"/>
      <x:c r="G28" s="5"/>
      <x:c r="H28" s="5"/>
    </x:row>
    <x:row r="29" ht="22" customHeight="1">
      <x:c r="A29" s="5"/>
      <x:c r="B29" s="5" t="str">
        <x:v>Sarı canlı ajan ve Cloud alanlarını yalnız gerçek çalışma kanıtıyla güncelleyin.</x:v>
      </x:c>
      <x:c r="C29" s="5"/>
      <x:c r="D29" s="5"/>
      <x:c r="E29" s="5"/>
      <x:c r="F29" s="5"/>
      <x:c r="G29" s="5"/>
      <x:c r="H29" s="5"/>
    </x:row>
    <x:row r="30" ht="22" customHeight="1">
      <x:c r="A30" s="5"/>
      <x:c r="B30" s="5" t="str">
        <x:v>Sorumlular öneridir. Yerel kayıtlar incelendi; bu dosya yeni bir sağlayıcı testi değildir.</x:v>
      </x:c>
      <x:c r="C30" s="5"/>
      <x:c r="D30" s="5"/>
      <x:c r="E30" s="5"/>
      <x:c r="F30" s="5"/>
      <x:c r="G30" s="5"/>
      <x:c r="H30" s="5"/>
    </x:row>
    <x:row r="31" ht="22" customHeight="1">
      <x:c r="A31" s="5"/>
      <x:c r="B31" s="5" t="str">
        <x:v>Açık işlerde kanıt sütunu tamamlanmayı değil, mevcut eksiği veya gereksinimi gösterir.</x:v>
      </x:c>
      <x:c r="C31" s="5"/>
      <x:c r="D31" s="5"/>
      <x:c r="E31" s="5"/>
      <x:c r="F31" s="5"/>
      <x:c r="G31" s="5"/>
      <x:c r="H31" s="5"/>
    </x:row>
    <x:row r="32" ht="22" customHeight="1">
      <x:c r="A32" s="5"/>
      <x:c r="B32" s="5" t="str">
        <x:v>Bağımlılıklar açılacak marka ve hizmete uygulanır. Eksik marka, hazır markayı durdurmaz.</x:v>
      </x:c>
      <x:c r="C32" s="5"/>
      <x:c r="D32" s="5"/>
      <x:c r="E32" s="5"/>
      <x:c r="F32" s="5"/>
      <x:c r="G32" s="5"/>
      <x:c r="H32" s="5"/>
    </x:row>
    <x:row r="33" ht="22" customHeight="1">
      <x:c r="A33" s="5"/>
      <x:c r="B33" s="5" t="str">
        <x:v>A04 / B10 / C05 satırlarında 1, tüm portföyün kabulünü ölçer.</x:v>
      </x:c>
      <x:c r="C33" s="5"/>
      <x:c r="D33" s="5"/>
      <x:c r="E33" s="5"/>
      <x:c r="F33" s="5"/>
      <x:c r="G33" s="5"/>
      <x:c r="H33" s="5"/>
    </x:row>
    <x:row r="34" ht="22" customHeight="1">
      <x:c r="A34" s="5"/>
      <x:c r="B34" s="5" t="str">
        <x:v>İlk sınırlı canlı için marka ve hizmetin sekiz koşula ait alt kabul kanıtı IN13 içinde tutulur.</x:v>
      </x:c>
      <x:c r="C34" s="5"/>
      <x:c r="D34" s="5"/>
      <x:c r="E34" s="5"/>
      <x:c r="F34" s="5"/>
      <x:c r="G34" s="5"/>
      <x:c r="H34" s="5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</x:sheetData>
  <x:dataValidations count="2">
    <x:dataValidation type="whole" operator="between" sqref="B8">
      <x:formula1>0</x:formula1>
      <x:formula2>4</x:formula2>
    </x:dataValidation>
    <x:dataValidation type="list" sqref="F8">
      <x:formula1>"Henüz yok,İç test,Sınırlı canlı,Canlı"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96786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49" hidden="0" customWidth="1"/>
    <x:col min="3" max="3" width="29" hidden="0" customWidth="1"/>
    <x:col min="4" max="4" width="12" hidden="0" customWidth="1"/>
    <x:col min="5" max="5" width="25" hidden="0" customWidth="1"/>
    <x:col min="6" max="6" width="20" hidden="0" customWidth="1"/>
    <x:col min="7" max="7" width="14" hidden="0" customWidth="1"/>
    <x:col min="8" max="8" width="11" hidden="0" customWidth="1"/>
    <x:col min="9" max="9" width="27" hidden="0" customWidth="1"/>
    <x:col min="10" max="10" width="67" hidden="0" customWidth="1"/>
    <x:col min="11" max="11" width="15" hidden="0" customWidth="1"/>
    <x:col min="12" max="12" width="42" hidden="0" customWidth="1"/>
    <x:col min="13" max="13" width="3" hidden="0" customWidth="1"/>
    <x:col min="14" max="14" width="7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4" customHeight="1">
      <x:c r="A2" s="3" t="str">
        <x:v>Hamle iş listesi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</x:row>
    <x:row r="4" ht="22" customHeight="1">
      <x:c r="A4" s="5" t="str">
        <x:v>Sarı alanlar güncellenir. Tamamlandı: kabul ölçütü karşılandıysa 1, diğer durumlarda 0.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2"/>
      <x:c r="N4" s="2"/>
      <x:c r="O4" s="2"/>
    </x:row>
    <x:row r="5" ht="22" customHeight="1">
      <x:c r="A5" s="5" t="str">
        <x:v>Sorumlular öneridir; kabulü ayrıca doğrulanır. Hedef tarih boşsa henüz taahhüt verilmemiştir.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2"/>
      <x:c r="N5" s="2"/>
      <x:c r="O5" s="2"/>
    </x:row>
    <x:row r="6" ht="34" customHeight="1">
      <x:c r="A6" s="14" t="str">
        <x:v>Kod</x:v>
      </x:c>
      <x:c r="B6" s="15" t="str">
        <x:v>İş / aksiyon</x:v>
      </x:c>
      <x:c r="C6" s="15" t="str">
        <x:v>İş paketi</x:v>
      </x:c>
      <x:c r="D6" s="15" t="str">
        <x:v>Öncelik</x:v>
      </x:c>
      <x:c r="E6" s="15" t="str">
        <x:v>Sorumlu</x:v>
      </x:c>
      <x:c r="F6" s="15" t="str">
        <x:v>Çalışma durumu</x:v>
      </x:c>
      <x:c r="G6" s="15" t="str">
        <x:v>Tamamlandı 0 / 1</x:v>
      </x:c>
      <x:c r="H6" s="15" t="str">
        <x:v>Ağırlık puanı</x:v>
      </x:c>
      <x:c r="I6" s="15" t="str">
        <x:v>Önce bitmesi gereken</x:v>
      </x:c>
      <x:c r="J6" s="15" t="str">
        <x:v>Tamamlanma / kabul ölçütü</x:v>
      </x:c>
      <x:c r="K6" s="15" t="str">
        <x:v>Hedef tarih</x:v>
      </x:c>
      <x:c r="L6" s="16" t="str">
        <x:v>Güncel not / sonraki adım</x:v>
      </x:c>
      <x:c r="M6" s="34" t="str">
        <x:v> </x:v>
      </x:c>
      <x:c r="N6" s="32" t="str">
        <x:v>Kayıt / kanıt</x:v>
      </x:c>
      <x:c r="O6" s="2"/>
    </x:row>
    <x:row r="7" ht="46" customHeight="1">
      <x:c r="A7" s="20" t="str">
        <x:v>A01</x:v>
      </x:c>
      <x:c r="B7" s="20" t="str">
        <x:v>Pilot kapsamı, To/CC şartı ve yetki sınırlarını yazılı hale getirme</x:v>
      </x:c>
      <x:c r="C7" s="20" t="str">
        <x:v>A · Yönetim ve yetkiler</x:v>
      </x:c>
      <x:c r="D7" s="20" t="str">
        <x:v>P0</x:v>
      </x:c>
      <x:c r="E7" s="24" t="str">
        <x:v>Ahmet</x:v>
      </x:c>
      <x:c r="F7" s="24" t="str">
        <x:v>Tamamlandı</x:v>
      </x:c>
      <x:c r="G7" s="28" t="n">
        <x:v>1</x:v>
      </x:c>
      <x:c r="H7" s="29" t="n">
        <x:v>2</x:v>
      </x:c>
      <x:c r="I7" s="20" t="str"/>
      <x:c r="J7" s="20" t="str">
        <x:v>Tüm markalar kapsamı, son mesajın gerçek To/CC şartı, hariç mesaj ve rutin yetki sınırı yazılı.</x:v>
      </x:c>
      <x:c r="K7" s="31"/>
      <x:c r="L7" s="24" t="str">
        <x:v>Canlı uygulama E04'te ayrıca doğrulanacak.</x:v>
      </x:c>
      <x:c r="M7" s="18"/>
      <x:c r="N7" s="33" t="str">
        <x:v>outputs/gamechangers-pilot/current-setup.json#/message_participation_gate, outputs/gamechangers-pilot/current-setup.json#/brand_rollout_policy</x:v>
      </x:c>
      <x:c r="O7" s="2"/>
    </x:row>
    <x:row r="8" ht="54" customHeight="1">
      <x:c r="A8" s="23" t="str">
        <x:v>A02</x:v>
      </x:c>
      <x:c r="B8" s="23" t="str">
        <x:v>Dört rolün iş tanımı ve sorumluluk sınırları</x:v>
      </x:c>
      <x:c r="C8" s="23" t="str">
        <x:v>A · Yönetim ve yetkiler</x:v>
      </x:c>
      <x:c r="D8" s="23" t="str">
        <x:v>P0</x:v>
      </x:c>
      <x:c r="E8" s="24" t="str">
        <x:v>Ahmet</x:v>
      </x:c>
      <x:c r="F8" s="24" t="str">
        <x:v>Tamamlandı</x:v>
      </x:c>
      <x:c r="G8" s="28" t="n">
        <x:v>1</x:v>
      </x:c>
      <x:c r="H8" s="30" t="n">
        <x:v>2</x:v>
      </x:c>
      <x:c r="I8" s="23" t="str">
        <x:v>A01</x:v>
      </x:c>
      <x:c r="J8" s="23" t="str">
        <x:v>Hamle, metin, grafik ve animasyon için ayrı görev, çıktı, araç ve kalite kontrol tanımları mevcut.</x:v>
      </x:c>
      <x:c r="K8" s="31"/>
      <x:c r="L8" s="24" t="str">
        <x:v>Kalıcı çalışan rol ve araç bağlantıları F/G/H paketlerinde ayrıca kurulacak.</x:v>
      </x:c>
      <x:c r="M8" s="18"/>
      <x:c r="N8" s="33" t="str">
        <x:v>outputs/gamechangers-pilot/roles/account_manager.json, outputs/gamechangers-pilot/roles/copywriter.json, outputs/gamechangers-pilot/roles/graphic_designer.json, outputs/gamechangers-pilot/roles/motion_designer.json</x:v>
      </x:c>
      <x:c r="O8" s="2"/>
    </x:row>
    <x:row r="9" ht="46" customHeight="1">
      <x:c r="A9" s="20" t="str">
        <x:v>A03</x:v>
      </x:c>
      <x:c r="B9" s="20" t="str">
        <x:v>Ahmet, Cansu ve Özge karar yönlendirmelerini tanımlama</x:v>
      </x:c>
      <x:c r="C9" s="20" t="str">
        <x:v>A · Yönetim ve yetkiler</x:v>
      </x:c>
      <x:c r="D9" s="20" t="str">
        <x:v>P0</x:v>
      </x:c>
      <x:c r="E9" s="24" t="str">
        <x:v>Ahmet</x:v>
      </x:c>
      <x:c r="F9" s="24" t="str">
        <x:v>Tamamlandı</x:v>
      </x:c>
      <x:c r="G9" s="28" t="n">
        <x:v>1</x:v>
      </x:c>
      <x:c r="H9" s="29" t="n">
        <x:v>1</x:v>
      </x:c>
      <x:c r="I9" s="20" t="str">
        <x:v>A01</x:v>
      </x:c>
      <x:c r="J9" s="20" t="str">
        <x:v>Teklif→Ahmet; sorun/şikâyet/strateji→Cansu+Ahmet; sosyal plan/gündem→Özge+Hamle; diğer yetkili rutin→Hamle ayrımı yazılı.</x:v>
      </x:c>
      <x:c r="K9" s="31"/>
      <x:c r="L9" s="24" t="str">
        <x:v>Gerçek karma niyet ve devir testleri E05/I01 kapsamında yapılacak.</x:v>
      </x:c>
      <x:c r="M9" s="18"/>
      <x:c r="N9" s="33" t="str">
        <x:v>outputs/gamechangers-pilot/current-setup.json#/routing_policy</x:v>
      </x:c>
      <x:c r="O9" s="2"/>
    </x:row>
    <x:row r="10" ht="54" customHeight="1">
      <x:c r="A10" s="23" t="str">
        <x:v>A04</x:v>
      </x:c>
      <x:c r="B10" s="23" t="str">
        <x:v>Marka, kişi, iş kapsamı ve onay matrisi</x:v>
      </x:c>
      <x:c r="C10" s="23" t="str">
        <x:v>A · Yönetim ve yetkiler</x:v>
      </x:c>
      <x:c r="D10" s="23" t="str">
        <x:v>P0</x:v>
      </x:c>
      <x:c r="E10" s="24" t="str">
        <x:v>Ahmet</x:v>
      </x:c>
      <x:c r="F10" s="24" t="str">
        <x:v>Bekliyor</x:v>
      </x:c>
      <x:c r="G10" s="28" t="n">
        <x:v>0</x:v>
      </x:c>
      <x:c r="H10" s="30" t="n">
        <x:v>1</x:v>
      </x:c>
      <x:c r="I10" s="23" t="str">
        <x:v>A01</x:v>
      </x:c>
      <x:c r="J10" s="23" t="str">
        <x:v>Yedi dış marka ve Gamechangers iç alanı için yetkili kişiler, karar/onay sınırları, alıcılar ve hizmet kapsamı kayıtlı; bilinmeyen yetki varsayılmıyor.</x:v>
      </x:c>
      <x:c r="K10" s="31"/>
      <x:c r="L10" s="24" t="str">
        <x:v>Marka bazlı kişi ve hizmet kapsamı listesini yetkili sahiplerden alıp matrise işle.</x:v>
      </x:c>
      <x:c r="M10" s="18"/>
      <x:c r="N10" s="33" t="str">
        <x:v>outputs/gamechangers-pilot/current-setup.json#/brand_registry</x:v>
      </x:c>
      <x:c r="O10" s="2"/>
    </x:row>
    <x:row r="11" ht="68" customHeight="1">
      <x:c r="A11" s="20" t="str">
        <x:v>A05</x:v>
      </x:c>
      <x:c r="B11" s="20" t="str">
        <x:v>Güncel harcama, hizmet ve model limitleri</x:v>
      </x:c>
      <x:c r="C11" s="20" t="str">
        <x:v>A · Yönetim ve yetkiler</x:v>
      </x:c>
      <x:c r="D11" s="20" t="str">
        <x:v>P0</x:v>
      </x:c>
      <x:c r="E11" s="24" t="str">
        <x:v>Ahmet</x:v>
      </x:c>
      <x:c r="F11" s="24" t="str">
        <x:v>Devam ediyor</x:v>
      </x:c>
      <x:c r="G11" s="28" t="n">
        <x:v>0</x:v>
      </x:c>
      <x:c r="H11" s="29" t="n">
        <x:v>1</x:v>
      </x:c>
      <x:c r="I11" s="20" t="str">
        <x:v>A01</x:v>
      </x:c>
      <x:c r="J11" s="20" t="str">
        <x:v>9 Ekim ve sonrası için ayrı bütçe dönemi/üst sınırı, izinli hizmetler, model tercihi ve sınır aşımı sahibi yazılı.</x:v>
      </x:c>
      <x:c r="K11" s="31"/>
      <x:c r="L11" s="24" t="str">
        <x:v>12 Ekim dahil ortak 50 USD ve Astra + max kararı kayıtlı. Hizmet dağılımı, sınır aşımı sahibi ve devam dönemi kurallarını tamamla.</x:v>
      </x:c>
      <x:c r="M11" s="18"/>
      <x:c r="N11" s="33" t="str">
        <x:v>outputs/Hamle_Butce_Onayi_2026-10-09.json, outputs/Hamle_Model_API_On_Kontrol_2026-10-09.json</x:v>
      </x:c>
      <x:c r="O11" s="2"/>
    </x:row>
    <x:row r="12" ht="54" customHeight="1">
      <x:c r="A12" s="23" t="str">
        <x:v>A06</x:v>
      </x:c>
      <x:c r="B12" s="23" t="str">
        <x:v>Operasyon kabul ölçütleri ve sorumlu sahiplik</x:v>
      </x:c>
      <x:c r="C12" s="23" t="str">
        <x:v>A · Yönetim ve yetkiler</x:v>
      </x:c>
      <x:c r="D12" s="23" t="str">
        <x:v>P0</x:v>
      </x:c>
      <x:c r="E12" s="24" t="str">
        <x:v>Ahmet</x:v>
      </x:c>
      <x:c r="F12" s="24" t="str">
        <x:v>Devam ediyor</x:v>
      </x:c>
      <x:c r="G12" s="28" t="n">
        <x:v>0</x:v>
      </x:c>
      <x:c r="H12" s="30" t="n">
        <x:v>1</x:v>
      </x:c>
      <x:c r="I12" s="23" t="str">
        <x:v>A01, A03</x:v>
      </x:c>
      <x:c r="J12" s="23" t="str">
        <x:v>Her canlı kapısının kabul kanıtı, kontrol sorumlusu, olay sahibi ve devralma yolu atanmış; çalışma sorumlulukları ilgili insanlarca biliniyor.</x:v>
      </x:c>
      <x:c r="K12" s="31"/>
      <x:c r="L12" s="24" t="str">
        <x:v>Yazılı kontrol listesini isimlendirilmiş sahip ve kabul kaydıyla tamamla.</x:v>
      </x:c>
      <x:c r="M12" s="18"/>
      <x:c r="N12" s="33" t="str">
        <x:v>outputs/gamechangers-pilot/current-setup.json#/activation_gates, outputs/gamechangers-pilot/current-setup.json#/stop_control</x:v>
      </x:c>
      <x:c r="O12" s="2"/>
    </x:row>
    <x:row r="13" ht="46" customHeight="1">
      <x:c r="A13" s="20" t="str">
        <x:v>B01</x:v>
      </x:c>
      <x:c r="B13" s="20" t="str">
        <x:v>Google Cloud projesini oluşturma</x:v>
      </x:c>
      <x:c r="C13" s="20" t="str">
        <x:v>B · Bağlantılar</x:v>
      </x:c>
      <x:c r="D13" s="20" t="str">
        <x:v>P0</x:v>
      </x:c>
      <x:c r="E13" s="24" t="str">
        <x:v>Teknik Kurulum</x:v>
      </x:c>
      <x:c r="F13" s="24" t="str">
        <x:v>Tamamlandı</x:v>
      </x:c>
      <x:c r="G13" s="28" t="n">
        <x:v>1</x:v>
      </x:c>
      <x:c r="H13" s="29" t="n">
        <x:v>1</x:v>
      </x:c>
      <x:c r="I13" s="20" t="str"/>
      <x:c r="J13" s="20" t="str">
        <x:v>Gamechangers Hamle projesi gamechangers.com.tr altında oluşturuldu ve proje kimliği doğrulandı.</x:v>
      </x:c>
      <x:c r="K13" s="31"/>
      <x:c r="L13" s="24" t="str">
        <x:v>Üretim hizmeti kuruldu saymadan D paketine geç.</x:v>
      </x:c>
      <x:c r="M13" s="18"/>
      <x:c r="N13" s="33" t="str">
        <x:v>outputs/Hamle_Google_Cloud_Kurulum_2026-10-09.json#/project_id</x:v>
      </x:c>
      <x:c r="O13" s="2"/>
    </x:row>
    <x:row r="14" ht="46" customHeight="1">
      <x:c r="A14" s="23" t="str">
        <x:v>B02</x:v>
      </x:c>
      <x:c r="B14" s="23" t="str">
        <x:v>Gmail API'yi etkinleştirme</x:v>
      </x:c>
      <x:c r="C14" s="23" t="str">
        <x:v>B · Bağlantılar</x:v>
      </x:c>
      <x:c r="D14" s="23" t="str">
        <x:v>P0</x:v>
      </x:c>
      <x:c r="E14" s="24" t="str">
        <x:v>Teknik Kurulum</x:v>
      </x:c>
      <x:c r="F14" s="24" t="str">
        <x:v>Tamamlandı</x:v>
      </x:c>
      <x:c r="G14" s="28" t="n">
        <x:v>1</x:v>
      </x:c>
      <x:c r="H14" s="30" t="n">
        <x:v>1</x:v>
      </x:c>
      <x:c r="I14" s="23" t="str">
        <x:v>B01</x:v>
      </x:c>
      <x:c r="J14" s="23" t="str">
        <x:v>gamechangers-hamle projesinde Gmail API Enabled durumu görüldü.</x:v>
      </x:c>
      <x:c r="K14" s="31"/>
      <x:c r="L14" s="24" t="str">
        <x:v>OAuth istemcisi ve hesap yetkilendirmesi B04/B05'te tamamlanacak.</x:v>
      </x:c>
      <x:c r="M14" s="18"/>
      <x:c r="N14" s="33" t="str">
        <x:v>outputs/Hamle_Google_Cloud_Kurulum_2026-10-09.json#/gmail_api_enabled</x:v>
      </x:c>
      <x:c r="O14" s="2"/>
    </x:row>
    <x:row r="15" ht="54" customHeight="1">
      <x:c r="A15" s="20" t="str">
        <x:v>B03</x:v>
      </x:c>
      <x:c r="B15" s="20" t="str">
        <x:v>OAuth uygulama kaydını oluşturma</x:v>
      </x:c>
      <x:c r="C15" s="20" t="str">
        <x:v>B · Bağlantılar</x:v>
      </x:c>
      <x:c r="D15" s="20" t="str">
        <x:v>P0</x:v>
      </x:c>
      <x:c r="E15" s="24" t="str">
        <x:v>Teknik Kurulum</x:v>
      </x:c>
      <x:c r="F15" s="24" t="str">
        <x:v>Tamamlandı</x:v>
      </x:c>
      <x:c r="G15" s="28" t="n">
        <x:v>1</x:v>
      </x:c>
      <x:c r="H15" s="29" t="n">
        <x:v>1</x:v>
      </x:c>
      <x:c r="I15" s="20" t="str">
        <x:v>B02</x:v>
      </x:c>
      <x:c r="J15" s="20" t="str">
        <x:v>Google Auth Platform uygulaması oluşturuldu; Internal kitle ve uygulama bilgileri kayıtlı.</x:v>
      </x:c>
      <x:c r="K15" s="31"/>
      <x:c r="L15" s="24" t="str">
        <x:v>Uygulama kaydı tamamlandı; Desktop istemci ve Hamle yetkisi de B04/B05 ile doğrulandı.</x:v>
      </x:c>
      <x:c r="M15" s="18"/>
      <x:c r="N15" s="33" t="str">
        <x:v>outputs/Hamle_Google_Cloud_Kurulum_2026-10-09.json#/oauth_app_created</x:v>
      </x:c>
      <x:c r="O15" s="2"/>
    </x:row>
    <x:row r="16" ht="96" customHeight="1">
      <x:c r="A16" s="23" t="str">
        <x:v>B04</x:v>
      </x:c>
      <x:c r="B16" s="23" t="str">
        <x:v>Desktop OAuth istemcisi ve özel kimlik bilgisi saklama</x:v>
      </x:c>
      <x:c r="C16" s="23" t="str">
        <x:v>B · Bağlantılar</x:v>
      </x:c>
      <x:c r="D16" s="23" t="str">
        <x:v>P0</x:v>
      </x:c>
      <x:c r="E16" s="24" t="str">
        <x:v>Ahmet</x:v>
      </x:c>
      <x:c r="F16" s="24" t="str">
        <x:v>Tamamlandı</x:v>
      </x:c>
      <x:c r="G16" s="28" t="n">
        <x:v>1</x:v>
      </x:c>
      <x:c r="H16" s="30" t="n">
        <x:v>1</x:v>
      </x:c>
      <x:c r="I16" s="23" t="str">
        <x:v>B03</x:v>
      </x:c>
      <x:c r="J16" s="23" t="str">
        <x:v>İstemci oluşturma/AI agent seçimi ve özel yerel saklama onayı tamam; Desktop istemci bilgisi yetkili özel konumda, günlüklerde veya belgelerde sır yok.</x:v>
      </x:c>
      <x:c r="K16" s="31"/>
      <x:c r="L16" s="24" t="str">
        <x:v>Tamamlandı. Desktop istemci ve özel saklama doğrulandı; bulut bağlantı geçişi D10 içinde ayrı izleniyor.</x:v>
      </x:c>
      <x:c r="M16" s="18"/>
      <x:c r="N16" s="33" t="str">
        <x:v>outputs/Hamle_Google_Cloud_Kurulum_2026-10-09.json#/gmail_oauth_client_created, outputs/Hamle_Google_Cloud_Kurulum_2026-10-09.json#/oauth_client_ai_designation_authorized, outputs/Hamle_Google_Cloud_Kurulum_2026-10-09.json#/oauth_client_storage_authorized, outputs/Hamle_Google_Cloud_Kurulum_2026-10-09.json#/oauth_client_private_file_permissions, outputs/Hamle_Gmail_API_Kaniti_2026-10-09.json#/storage</x:v>
      </x:c>
      <x:c r="O16" s="2"/>
    </x:row>
    <x:row r="17" ht="82" customHeight="1">
      <x:c r="A17" s="20" t="str">
        <x:v>B05</x:v>
      </x:c>
      <x:c r="B17" s="20" t="str">
        <x:v>Hamle OAuth kimliği ve gerçek Gmail API okuma</x:v>
      </x:c>
      <x:c r="C17" s="20" t="str">
        <x:v>B · Bağlantılar</x:v>
      </x:c>
      <x:c r="D17" s="20" t="str">
        <x:v>P0</x:v>
      </x:c>
      <x:c r="E17" s="24" t="str">
        <x:v>Teknik Kurulum</x:v>
      </x:c>
      <x:c r="F17" s="24" t="str">
        <x:v>Tamamlandı</x:v>
      </x:c>
      <x:c r="G17" s="28" t="n">
        <x:v>1</x:v>
      </x:c>
      <x:c r="H17" s="29" t="n">
        <x:v>2</x:v>
      </x:c>
      <x:c r="I17" s="20" t="str">
        <x:v>B04</x:v>
      </x:c>
      <x:c r="J17" s="20" t="str">
        <x:v>Yalnız Hamle e-posta kimliği ve tam gmail.readonly+gmail.send izinleri doğrulandı; gerçek API ile izinli iç test zinciri okundu; yenilenebilir yetki güvenli depoda.</x:v>
      </x:c>
      <x:c r="K17" s="31"/>
      <x:c r="L17" s="24" t="str">
        <x:v>Tamamlandı. Hamle kimliği, iki kapsam ve izinli iç dizinin API okuması doğrulandı. Gelen posta ve eklerin tam işleyicisi E03/E04; kalan iptal/Basecamp yenileme kontrolleri B07’de açık.</x:v>
      </x:c>
      <x:c r="M17" s="18"/>
      <x:c r="N17" s="33" t="str">
        <x:v>outputs/Hamle_Gmail_API_Kaniti_2026-10-09.json#/account, outputs/Hamle_Gmail_API_Kaniti_2026-10-09.json#/scopes, outputs/Hamle_Gmail_API_Kaniti_2026-10-09.json#/api_profile_verified, outputs/Hamle_Gmail_API_Kaniti_2026-10-09.json#/api_minimal_thread_read_verified, outputs/Hamle_Gmail_API_Kaniti_2026-10-09.json#/storage</x:v>
      </x:c>
      <x:c r="O17" s="2"/>
    </x:row>
    <x:row r="18" ht="96" customHeight="1">
      <x:c r="A18" s="23" t="str">
        <x:v>B06</x:v>
      </x:c>
      <x:c r="B18" s="23" t="str">
        <x:v>Gmail API iç gönderimi ve alıcıda teslim kontrolü</x:v>
      </x:c>
      <x:c r="C18" s="23" t="str">
        <x:v>B · Bağlantılar</x:v>
      </x:c>
      <x:c r="D18" s="23" t="str">
        <x:v>P0</x:v>
      </x:c>
      <x:c r="E18" s="24" t="str">
        <x:v>Teknik Kurulum</x:v>
      </x:c>
      <x:c r="F18" s="24" t="str">
        <x:v>Tamamlandı</x:v>
      </x:c>
      <x:c r="G18" s="28" t="n">
        <x:v>1</x:v>
      </x:c>
      <x:c r="H18" s="30" t="n">
        <x:v>1</x:v>
      </x:c>
      <x:c r="I18" s="23" t="str">
        <x:v>B05</x:v>
      </x:c>
      <x:c r="J18" s="23" t="str">
        <x:v>Tek açık test kimliğiyle sabit Hamle→Ahmet teknik maili bir kez API'den gönderildi; alıcı kutusunda aynı ileti kimliği/başlığı doğrulandı.</x:v>
      </x:c>
      <x:c r="K18" s="31"/>
      <x:c r="L18" s="24" t="str">
        <x:v>Tamamlandı. Tek API gönderimi alıcıda test başlığı, From/To, konu ve gövdeyle uzlaştırıldı. Mailbox sağlayıcı kimlikleri veya RFC kimliği eşit varsayılmadı.</x:v>
      </x:c>
      <x:c r="M18" s="18"/>
      <x:c r="N18" s="33" t="str">
        <x:v>outputs/Hamle_Gmail_API_Kaniti_2026-10-09.json#/send_calls, outputs/Hamle_Gmail_API_Kaniti_2026-10-09.json#/recipient_inbox_verified, outputs/Hamle_Gmail_API_Kaniti_2026-10-09.json#/recipient_header_X_Hamle_Test_ID, outputs/Hamle_Gmail_API_Kaniti_2026-10-09.json#/body_verified_against_fixed_technical_test, outputs/Hamle_Gmail_API_Kaniti_2026-10-09.json#/rfc_message_id_note</x:v>
      </x:c>
      <x:c r="O18" s="2"/>
    </x:row>
    <x:row r="19" ht="82" customHeight="1">
      <x:c r="A19" s="20" t="str">
        <x:v>B07</x:v>
      </x:c>
      <x:c r="B19" s="20" t="str">
        <x:v>Gmail ve Basecamp erişim yenileme, iptal ve yeniden başlatma</x:v>
      </x:c>
      <x:c r="C19" s="20" t="str">
        <x:v>B · Bağlantılar</x:v>
      </x:c>
      <x:c r="D19" s="20" t="str">
        <x:v>P0</x:v>
      </x:c>
      <x:c r="E19" s="24" t="str">
        <x:v>Teknik Kurulum</x:v>
      </x:c>
      <x:c r="F19" s="24" t="str">
        <x:v>Devam ediyor</x:v>
      </x:c>
      <x:c r="G19" s="28" t="n">
        <x:v>0</x:v>
      </x:c>
      <x:c r="H19" s="29" t="n">
        <x:v>1</x:v>
      </x:c>
      <x:c r="I19" s="20" t="str">
        <x:v>B05, B08</x:v>
      </x:c>
      <x:c r="J19" s="20" t="str">
        <x:v>Her iki bağlantıda yenileme ve yeniden başlatma sonrası doğru kimlik sürüyor; iptal edildiğinde erişim duruyor, belirsiz yazma tekrar edilmiyor.</x:v>
      </x:c>
      <x:c r="K19" s="31"/>
      <x:c r="L19" s="24" t="str">
        <x:v>Gmail yenileme ve ayrı süreçte yeniden okuma geçti. Gerçek izin iptali ile Basecamp yenileme/yeniden başlatma ve güvenli durma kontrollerini tamamla.</x:v>
      </x:c>
      <x:c r="M19" s="18"/>
      <x:c r="N19" s="33" t="str">
        <x:v>outputs/Hamle_Gmail_Refresh_Kaniti_2026-10-09.json#/token_refreshed, outputs/Hamle_Gmail_Refresh_Kaniti_2026-10-09.json#/separate_process_reopen_and_read_passed, outputs/Hamle_Gmail_Refresh_Kaniti_2026-10-09.json#/revocation_not_tested, outputs/Hamle_Gmail_Refresh_Kaniti_2026-10-09.json#/basecamp_refresh_not_in_this_test</x:v>
      </x:c>
      <x:c r="O19" s="2"/>
    </x:row>
    <x:row r="20" ht="54" customHeight="1">
      <x:c r="A20" s="23" t="str">
        <x:v>B08</x:v>
      </x:c>
      <x:c r="B20" s="23" t="str">
        <x:v>Hamle Basecamp API okuma, yazma ve yeniden okuma</x:v>
      </x:c>
      <x:c r="C20" s="23" t="str">
        <x:v>B · Bağlantılar</x:v>
      </x:c>
      <x:c r="D20" s="23" t="str">
        <x:v>P0</x:v>
      </x:c>
      <x:c r="E20" s="24" t="str">
        <x:v>Teknik Kurulum</x:v>
      </x:c>
      <x:c r="F20" s="24" t="str">
        <x:v>Tamamlandı</x:v>
      </x:c>
      <x:c r="G20" s="28" t="n">
        <x:v>1</x:v>
      </x:c>
      <x:c r="H20" s="30" t="n">
        <x:v>2</x:v>
      </x:c>
      <x:c r="I20" s="23" t="str"/>
      <x:c r="J20" s="23" t="str">
        <x:v>hamle-gamechangers profili Hamle kimliğiyle doğrulandı; özel iç görev okundu, yorum yazıldı ve aynı yorum geri okundu.</x:v>
      </x:c>
      <x:c r="K20" s="31"/>
      <x:c r="L20" s="24" t="str">
        <x:v>Geniş sağlayıcı yetkisini müşteri yetkisi sayma; uygulama sınırlarını B10/D06'da kur.</x:v>
      </x:c>
      <x:c r="M20" s="18"/>
      <x:c r="N20" s="33" t="str">
        <x:v>outputs/Hamle_Kalici_Baglanti_Hazirlik_2026-10-09.json#/basecamp_oauth, outputs/Hamle_Baglanti_Durumu_2026-10-09.json#/basecamp/API_write_and_readback_passed</x:v>
      </x:c>
      <x:c r="O20" s="2"/>
    </x:row>
    <x:row r="21" ht="68" customHeight="1">
      <x:c r="A21" s="20" t="str">
        <x:v>B09</x:v>
      </x:c>
      <x:c r="B21" s="20" t="str">
        <x:v>Basecamp API dosya, atama ve revizyon döngüsü</x:v>
      </x:c>
      <x:c r="C21" s="20" t="str">
        <x:v>B · Bağlantılar</x:v>
      </x:c>
      <x:c r="D21" s="20" t="str">
        <x:v>P0</x:v>
      </x:c>
      <x:c r="E21" s="24" t="str">
        <x:v>Teknik Kurulum</x:v>
      </x:c>
      <x:c r="F21" s="24" t="str">
        <x:v>Tamamlandı</x:v>
      </x:c>
      <x:c r="G21" s="28" t="n">
        <x:v>1</x:v>
      </x:c>
      <x:c r="H21" s="29" t="n">
        <x:v>1</x:v>
      </x:c>
      <x:c r="I21" s="20" t="str">
        <x:v>B08</x:v>
      </x:c>
      <x:c r="J21" s="20" t="str">
        <x:v>Hamle API üzerinden iç görevde atama, sürümlü revizyon ve dosya yükleme yapıldı; alıcı/görünürlük ve dosyanın tam içeriği yeniden doğrulandı.</x:v>
      </x:c>
      <x:c r="K21" s="31"/>
      <x:c r="L21" s="24" t="str">
        <x:v>Tamamlandı: yalnız iç test projesinde Hamle ataması, R1 revizyon, dosya yükleme ve tam içerik/görünürlük geri okuması geçti. Müşteri projeleri B10’da ayrı.</x:v>
      </x:c>
      <x:c r="M21" s="18"/>
      <x:c r="N21" s="33" t="str">
        <x:v>outputs/Hamle_Basecamp_B09_API_Kaniti_2026-10-09.json#/B09_pass, outputs/Hamle_Basecamp_B09_API_Kaniti_2026-10-09.json#/final_checks, outputs/Hamle_Basecamp_B09_API_Kaniti_2026-10-09.json#/file_readback, outputs/Hamle_Basecamp_B09_API_Kaniti_2026-10-09.json#/customer_notification_check</x:v>
      </x:c>
      <x:c r="O21" s="2"/>
    </x:row>
    <x:row r="22" ht="54" customHeight="1">
      <x:c r="A22" s="23" t="str">
        <x:v>B10</x:v>
      </x:c>
      <x:c r="B22" s="23" t="str">
        <x:v>Tüm markaların Basecamp proje ve görünürlük eşlemesi</x:v>
      </x:c>
      <x:c r="C22" s="23" t="str">
        <x:v>B · Bağlantılar</x:v>
      </x:c>
      <x:c r="D22" s="23" t="str">
        <x:v>P0</x:v>
      </x:c>
      <x:c r="E22" s="24" t="str">
        <x:v>Ahmet</x:v>
      </x:c>
      <x:c r="F22" s="24" t="str">
        <x:v>Bekliyor</x:v>
      </x:c>
      <x:c r="G22" s="28" t="n">
        <x:v>0</x:v>
      </x:c>
      <x:c r="H22" s="30" t="n">
        <x:v>1</x:v>
      </x:c>
      <x:c r="I22" s="23" t="str">
        <x:v>A04, B08</x:v>
      </x:c>
      <x:c r="J22" s="23" t="str">
        <x:v>Her marka için doğru hesap/proje/liste, sorumlu kimlikleri ve müşteri görünürlük sınırı doğrulandı; başka markaya erişim engeli sınandı.</x:v>
      </x:c>
      <x:c r="K22" s="31"/>
      <x:c r="L22" s="24" t="str">
        <x:v>Marka proje/liste ve kişi eşlemlerini çıkar; özel test projesini üretim eşlemi yerine kullanma.</x:v>
      </x:c>
      <x:c r="M22" s="18"/>
      <x:c r="N22" s="33" t="str">
        <x:v>outputs/gamechangers-pilot/current-setup.json#/brand_registry, outputs/Hamle_Kalici_Baglanti_Hazirlik_2026-10-09.json#/basecamp_oauth/actual_provider_scope</x:v>
      </x:c>
      <x:c r="O22" s="2"/>
    </x:row>
    <x:row r="23" ht="54" customHeight="1">
      <x:c r="A23" s="20" t="str">
        <x:v>B11</x:v>
      </x:c>
      <x:c r="B23" s="20" t="str">
        <x:v>Gmail tarayıcı iç gidiş-dönüş testi</x:v>
      </x:c>
      <x:c r="C23" s="20" t="str">
        <x:v>B · Bağlantılar</x:v>
      </x:c>
      <x:c r="D23" s="20" t="str">
        <x:v>P0</x:v>
      </x:c>
      <x:c r="E23" s="24" t="str">
        <x:v>Teknik Kurulum</x:v>
      </x:c>
      <x:c r="F23" s="24" t="str">
        <x:v>Tamamlandı</x:v>
      </x:c>
      <x:c r="G23" s="28" t="n">
        <x:v>1</x:v>
      </x:c>
      <x:c r="H23" s="29" t="n">
        <x:v>1</x:v>
      </x:c>
      <x:c r="I23" s="20" t="str"/>
      <x:c r="J23" s="20" t="str">
        <x:v>Hamle gelen iç mailin gerçek To başlığını ve içeriğini okudu; Hamle yanıtı Ahmet gelen kutusunda aynı zincirde görüldü.</x:v>
      </x:c>
      <x:c r="K23" s="31"/>
      <x:c r="L23" s="24" t="str">
        <x:v>Bu kanıtı API bağlantısı ve otomatik işleyici testiyle karıştırma.</x:v>
      </x:c>
      <x:c r="M23" s="18"/>
      <x:c r="N23" s="33" t="str">
        <x:v>outputs/Hamle_Baglanti_Durumu_2026-10-09.json#/incoming_to_header_verified, outputs/Hamle_Baglanti_Durumu_2026-10-09.json#/return_received_in_ahmet_inbox</x:v>
      </x:c>
      <x:c r="O23" s="2"/>
    </x:row>
    <x:row r="24" ht="54" customHeight="1">
      <x:c r="A24" s="23" t="str">
        <x:v>B12</x:v>
      </x:c>
      <x:c r="B24" s="23" t="str">
        <x:v>Gmail yardımcısının 30 çevrimdışı testi</x:v>
      </x:c>
      <x:c r="C24" s="23" t="str">
        <x:v>B · Bağlantılar</x:v>
      </x:c>
      <x:c r="D24" s="23" t="str">
        <x:v>P0</x:v>
      </x:c>
      <x:c r="E24" s="24" t="str">
        <x:v>Teknik Kurulum</x:v>
      </x:c>
      <x:c r="F24" s="24" t="str">
        <x:v>Tamamlandı</x:v>
      </x:c>
      <x:c r="G24" s="28" t="n">
        <x:v>1</x:v>
      </x:c>
      <x:c r="H24" s="30" t="n">
        <x:v>1</x:v>
      </x:c>
      <x:c r="I24" s="23" t="str"/>
      <x:c r="J24" s="23" t="str">
        <x:v>30 test ağ kapalı sahte bağımlılıklarla geçti; yanlış kimlik/izin, sır sızıntısı ve aynı test kimliği tekrarı engellendi.</x:v>
      </x:c>
      <x:c r="K24" s="31"/>
      <x:c r="L24" s="24" t="str">
        <x:v>Yerel yardımcı testleri tamamlandı; gerçek OAuth/API okuma ve teslim doğrulaması B05/B06 kapsamında ayrıca geçti.</x:v>
      </x:c>
      <x:c r="M24" s="18"/>
      <x:c r="N24" s="33" t="str">
        <x:v>work/hamle-gmail-connector/test-results.json</x:v>
      </x:c>
      <x:c r="O24" s="2"/>
    </x:row>
    <x:row r="25" ht="68" customHeight="1">
      <x:c r="A25" s="20" t="str">
        <x:v>C01</x:v>
      </x:c>
      <x:c r="B25" s="20" t="str">
        <x:v>105 dizi / 763 mesajın tarihli ve sınırlı okuma kaydı</x:v>
      </x:c>
      <x:c r="C25" s="20" t="str">
        <x:v>C · Marka bilgisi</x:v>
      </x:c>
      <x:c r="D25" s="20" t="str">
        <x:v>P1</x:v>
      </x:c>
      <x:c r="E25" s="24" t="str">
        <x:v>Teknik Kurulum</x:v>
      </x:c>
      <x:c r="F25" s="24" t="str">
        <x:v>Tamamlandı</x:v>
      </x:c>
      <x:c r="G25" s="28" t="n">
        <x:v>1</x:v>
      </x:c>
      <x:c r="H25" s="29" t="n">
        <x:v>3</x:v>
      </x:c>
      <x:c r="I25" s="20" t="str"/>
      <x:c r="J25" s="20" t="str">
        <x:v>İki turda 105 dizi/763 mesaj kayıtlı; ek 60 konu WAT 27, Rabam 26, eski ya da/Multicosmetics/Remedium grubunda 7. Yeni marka ayrımına kaynak bazında eşleme açık; tam arşiv iddiası yok.</x:v>
      </x:c>
      <x:c r="K25" s="31"/>
      <x:c r="L25" s="24" t="str">
        <x:v>Okunan kapsamı koru; kalan arşivi C08 ile ayrıca sürdür.</x:v>
      </x:c>
      <x:c r="M25" s="18"/>
      <x:c r="N25" s="33" t="str">
        <x:v>outputs/gamechangers-pilot/coverage.json, outputs/gamechangers-pilot/learning-round2/wat_mobilite/report.json, outputs/gamechangers-pilot/learning-round2/rabam/report.json, outputs/gamechangers-pilot/learning-round2/yada_multicosmetics/report.json</x:v>
      </x:c>
      <x:c r="O25" s="2"/>
    </x:row>
    <x:row r="26" ht="68" customHeight="1">
      <x:c r="A26" s="23" t="str">
        <x:v>C02</x:v>
      </x:c>
      <x:c r="B26" s="23" t="str">
        <x:v>Kaynaklı ilk marka öğrenme ve sentez çıktıları</x:v>
      </x:c>
      <x:c r="C26" s="23" t="str">
        <x:v>C · Marka bilgisi</x:v>
      </x:c>
      <x:c r="D26" s="23" t="str">
        <x:v>P1</x:v>
      </x:c>
      <x:c r="E26" s="24" t="str">
        <x:v>Cansu</x:v>
      </x:c>
      <x:c r="F26" s="24" t="str">
        <x:v>Tamamlandı</x:v>
      </x:c>
      <x:c r="G26" s="28" t="n">
        <x:v>1</x:v>
      </x:c>
      <x:c r="H26" s="30" t="n">
        <x:v>2</x:v>
      </x:c>
      <x:c r="I26" s="23" t="str">
        <x:v>C01</x:v>
      </x:c>
      <x:c r="J26" s="23" t="str">
        <x:v>İlk marka gözlemleri ve ek konu sentezleri kaynak, karar, müşteri düzeltmesi ve bilinmeyenleri ayırıyor; geçmiş talep güncel onay yapılmıyor.</x:v>
      </x:c>
      <x:c r="K26" s="31"/>
      <x:c r="L26" s="24" t="str">
        <x:v>Güncel onaylı marka dosyalarını C05'te bu sınırlı sentezden ayrı tamamla.</x:v>
      </x:c>
      <x:c r="M26" s="18"/>
      <x:c r="N26" s="33" t="str">
        <x:v>outputs/gamechangers-pilot/coverage.json#/initial_round, outputs/gamechangers-pilot/learning/brands/wat_mobilite/observations.json, outputs/gamechangers-pilot/learning/brands/rabam/observations.json, outputs/gamechangers-pilot/learning/brands/yada_multicosmetics/observations.json</x:v>
      </x:c>
      <x:c r="O26" s="2"/>
    </x:row>
    <x:row r="27" ht="54" customHeight="1">
      <x:c r="A27" s="20" t="str">
        <x:v>C03</x:v>
      </x:c>
      <x:c r="B27" s="20" t="str">
        <x:v>Dört hafıza alanı ve kayıt şablonları</x:v>
      </x:c>
      <x:c r="C27" s="20" t="str">
        <x:v>C · Marka bilgisi</x:v>
      </x:c>
      <x:c r="D27" s="20" t="str">
        <x:v>P1</x:v>
      </x:c>
      <x:c r="E27" s="24" t="str">
        <x:v>Teknik Kurulum</x:v>
      </x:c>
      <x:c r="F27" s="24" t="str">
        <x:v>Tamamlandı</x:v>
      </x:c>
      <x:c r="G27" s="28" t="n">
        <x:v>1</x:v>
      </x:c>
      <x:c r="H27" s="29" t="n">
        <x:v>1</x:v>
      </x:c>
      <x:c r="I27" s="20" t="str">
        <x:v>A02</x:v>
      </x:c>
      <x:c r="J27" s="20" t="str">
        <x:v>Ajans, marka, iş ve dış itibar alanları için dört bölge ve kaynak/sürüm/yetki içeren kayıt şablonları mevcut.</x:v>
      </x:c>
      <x:c r="K27" s="31"/>
      <x:c r="L27" s="24" t="str">
        <x:v>Üretim kaydı ve marka/rol erişim uygulaması C07/D05'te ayrıca sınanacak.</x:v>
      </x:c>
      <x:c r="M27" s="18"/>
      <x:c r="N27" s="33" t="str">
        <x:v>outputs/gamechangers-pilot/templates/knowledge-zones.template.json, outputs/gamechangers-pilot/templates/knowledge-record.schema.json, outputs/gamechangers-pilot/current-setup.json#/storage</x:v>
      </x:c>
      <x:c r="O27" s="2"/>
    </x:row>
    <x:row r="28" ht="54" customHeight="1">
      <x:c r="A28" s="23" t="str">
        <x:v>C04</x:v>
      </x:c>
      <x:c r="B28" s="23" t="str">
        <x:v>Ek, görsel, video ve lisans içerik incelemesi</x:v>
      </x:c>
      <x:c r="C28" s="23" t="str">
        <x:v>C · Marka bilgisi</x:v>
      </x:c>
      <x:c r="D28" s="23" t="str">
        <x:v>P1</x:v>
      </x:c>
      <x:c r="E28" s="24" t="str">
        <x:v>Tasarım sorumlusu atanacak</x:v>
      </x:c>
      <x:c r="F28" s="24" t="str">
        <x:v>Devam ediyor</x:v>
      </x:c>
      <x:c r="G28" s="28" t="n">
        <x:v>0</x:v>
      </x:c>
      <x:c r="H28" s="30" t="n">
        <x:v>2</x:v>
      </x:c>
      <x:c r="I28" s="23" t="str">
        <x:v>C01</x:v>
      </x:c>
      <x:c r="J28" s="23" t="str">
        <x:v>Canlı işte kullanılacak gerekli ekler gerçekten açılmış; metin, görsel, ses/video ve kullanım hakkı kontrolleri ayrı kayıtlı; okunmayan dosya açık işaretli.</x:v>
      </x:c>
      <x:c r="K28" s="31"/>
      <x:c r="L28" s="24" t="str">
        <x:v>Bir DOCX ve iki bağlı metin okumasının ötesindeki öncelikli ekleri aç; görselleri ve gerekiyorsa videoyu incele.</x:v>
      </x:c>
      <x:c r="M28" s="18"/>
      <x:c r="N28" s="33" t="str">
        <x:v>outputs/gamechangers-pilot/coverage.json#/attachments</x:v>
      </x:c>
      <x:c r="O28" s="2"/>
    </x:row>
    <x:row r="29" ht="54" customHeight="1">
      <x:c r="A29" s="20" t="str">
        <x:v>C05</x:v>
      </x:c>
      <x:c r="B29" s="20" t="str">
        <x:v>Tüm markalar için güncel onaylı kaynak dosyası</x:v>
      </x:c>
      <x:c r="C29" s="20" t="str">
        <x:v>C · Marka bilgisi</x:v>
      </x:c>
      <x:c r="D29" s="20" t="str">
        <x:v>P0</x:v>
      </x:c>
      <x:c r="E29" s="24" t="str">
        <x:v>Cansu</x:v>
      </x:c>
      <x:c r="F29" s="24" t="str">
        <x:v>Bekliyor</x:v>
      </x:c>
      <x:c r="G29" s="28" t="n">
        <x:v>0</x:v>
      </x:c>
      <x:c r="H29" s="29" t="n">
        <x:v>2</x:v>
      </x:c>
      <x:c r="I29" s="20" t="str">
        <x:v>C02, C04, A04</x:v>
      </x:c>
      <x:c r="J29" s="20" t="str">
        <x:v>Her canlı marka için güncel logo/ton, ürün-hizmet gerçekleri, reddedilmiş yönler, onaylı iddialar ve yetkili kaynak/sürüm sahibi belli.</x:v>
      </x:c>
      <x:c r="K29" s="31"/>
      <x:c r="L29" s="24" t="str">
        <x:v>Marka sorumlularından güncel onaylı kaynakları al; geçmiş örnek ve fiyatları güncel gerçek saymadan dosyala.</x:v>
      </x:c>
      <x:c r="M29" s="18"/>
      <x:c r="N29" s="33" t="str">
        <x:v>outputs/gamechangers-pilot/current-setup.json#/brand_registry, outputs/gamechangers-pilot/templates/brand-dossier.template.json</x:v>
      </x:c>
      <x:c r="O29" s="2"/>
    </x:row>
    <x:row r="30" ht="54" customHeight="1">
      <x:c r="A30" s="23" t="str">
        <x:v>C06</x:v>
      </x:c>
      <x:c r="B30" s="23" t="str">
        <x:v>Yetkili kişiler, özel günler ve doğum günü takvimi</x:v>
      </x:c>
      <x:c r="C30" s="23" t="str">
        <x:v>C · Marka bilgisi</x:v>
      </x:c>
      <x:c r="D30" s="23" t="str">
        <x:v>P1</x:v>
      </x:c>
      <x:c r="E30" s="24" t="str">
        <x:v>Özge</x:v>
      </x:c>
      <x:c r="F30" s="24" t="str">
        <x:v>Bekliyor</x:v>
      </x:c>
      <x:c r="G30" s="28" t="n">
        <x:v>0</x:v>
      </x:c>
      <x:c r="H30" s="30" t="n">
        <x:v>1</x:v>
      </x:c>
      <x:c r="I30" s="23" t="str">
        <x:v>A04</x:v>
      </x:c>
      <x:c r="J30" s="23" t="str">
        <x:v>Yetkili kişi kayıtlarında gerekli gün/ay ve kaynak var; marka günleri resmi kaynakla teyitli; ön hazırlık sahipleri ve hatırlatma süreleri belli.</x:v>
      </x:c>
      <x:c r="K30" s="31"/>
      <x:c r="L30" s="24" t="str">
        <x:v>Yetkili kişi/tarih listesini ve marka dönemlerini al; doğum yılı istemeden 30 günlük planı doldur.</x:v>
      </x:c>
      <x:c r="M30" s="18"/>
      <x:c r="N30" s="33" t="str">
        <x:v>outputs/gamechangers-pilot/current-setup.json#/proactive_dates</x:v>
      </x:c>
      <x:c r="O30" s="2"/>
    </x:row>
    <x:row r="31" ht="54" customHeight="1">
      <x:c r="A31" s="20" t="str">
        <x:v>C07</x:v>
      </x:c>
      <x:c r="B31" s="20" t="str">
        <x:v>Çalışan sistemde marka ve role uygun bilgi çağırma</x:v>
      </x:c>
      <x:c r="C31" s="20" t="str">
        <x:v>C · Marka bilgisi</x:v>
      </x:c>
      <x:c r="D31" s="20" t="str">
        <x:v>P0</x:v>
      </x:c>
      <x:c r="E31" s="24" t="str">
        <x:v>Teknik Kurulum</x:v>
      </x:c>
      <x:c r="F31" s="24" t="str">
        <x:v>Başlanmadı</x:v>
      </x:c>
      <x:c r="G31" s="28" t="n">
        <x:v>0</x:v>
      </x:c>
      <x:c r="H31" s="29" t="n">
        <x:v>1</x:v>
      </x:c>
      <x:c r="I31" s="20" t="str">
        <x:v>C03, D05, D06</x:v>
      </x:c>
      <x:c r="J31" s="20" t="str">
        <x:v>Gerçek işte yalnız ilgili marka ve rol için gerekli kaynaklar çağrılıyor; farklı marka/özel ticari veri sorgusu engelleniyor ve kaydı tutuluyor.</x:v>
      </x:c>
      <x:c r="K31" s="31"/>
      <x:c r="L31" s="24" t="str">
        <x:v>Kaynak erişimini çalışma kimliği/marka/rol filtrelerine bağla ve olumsuz erişim testleri yap.</x:v>
      </x:c>
      <x:c r="M31" s="18"/>
      <x:c r="N31" s="33" t="str">
        <x:v>outputs/gamechangers-pilot/current-setup.json#/storage, outputs/gamechangers-pilot/current-setup.json#/brand_rollout_policy</x:v>
      </x:c>
      <x:c r="O31" s="2"/>
    </x:row>
    <x:row r="32" ht="82" customHeight="1">
      <x:c r="A32" s="23" t="str">
        <x:v>C08</x:v>
      </x:c>
      <x:c r="B32" s="23" t="str">
        <x:v>Artımlı öğrenme, sayfalama ve kaldığı yerden devam</x:v>
      </x:c>
      <x:c r="C32" s="23" t="str">
        <x:v>C · Marka bilgisi</x:v>
      </x:c>
      <x:c r="D32" s="23" t="str">
        <x:v>P1</x:v>
      </x:c>
      <x:c r="E32" s="24" t="str">
        <x:v>Teknik Kurulum</x:v>
      </x:c>
      <x:c r="F32" s="24" t="str">
        <x:v>Devam ediyor</x:v>
      </x:c>
      <x:c r="G32" s="28" t="n">
        <x:v>0</x:v>
      </x:c>
      <x:c r="H32" s="30" t="n">
        <x:v>1</x:v>
      </x:c>
      <x:c r="I32" s="23" t="str">
        <x:v>C01, C03, D05</x:v>
      </x:c>
      <x:c r="J32" s="23" t="str">
        <x:v>Yetkili geçmiş ve yeni kaynak okuması kalıcı kontrol noktasından sürüyor; sayfa/mesaj tekilleştirme var; okuma hatası 'yeni mail yok' sayılmıyor; arşiv canlı iş açmıyor.</x:v>
      </x:c>
      <x:c r="K32" s="31"/>
      <x:c r="L32" s="24" t="str">
        <x:v>Mevcut sayfalama noktalarını kalıcı işleyiciye bağla; Ahmet tarihsel öğrenmesini Hamle canlı olayından ayır, kesinti/yeniden başlama ve eski kayıt tekrarı testini yap.</x:v>
      </x:c>
      <x:c r="M32" s="18"/>
      <x:c r="N32" s="33" t="str">
        <x:v>outputs/gamechangers-pilot/coverage.json#/round2_query_checkpoint_locations, outputs/gamechangers-pilot/coverage.json#/archive_work_remaining, outputs/gamechangers-pilot/offline/test-results.json</x:v>
      </x:c>
      <x:c r="O32" s="2"/>
    </x:row>
    <x:row r="33" ht="54" customHeight="1">
      <x:c r="A33" s="20" t="str">
        <x:v>C09</x:v>
      </x:c>
      <x:c r="B33" s="20" t="str">
        <x:v>Saklama, veri azaltma ve silme kurallarını uygulama</x:v>
      </x:c>
      <x:c r="C33" s="20" t="str">
        <x:v>C · Marka bilgisi</x:v>
      </x:c>
      <x:c r="D33" s="20" t="str">
        <x:v>P1</x:v>
      </x:c>
      <x:c r="E33" s="24" t="str">
        <x:v>Teknik Kurulum</x:v>
      </x:c>
      <x:c r="F33" s="24" t="str">
        <x:v>Başlanmadı</x:v>
      </x:c>
      <x:c r="G33" s="28" t="n">
        <x:v>0</x:v>
      </x:c>
      <x:c r="H33" s="29" t="n">
        <x:v>1</x:v>
      </x:c>
      <x:c r="I33" s="20" t="str">
        <x:v>A04, D05, D06</x:v>
      </x:c>
      <x:c r="J33" s="20" t="str">
        <x:v>Gerekli veri alanları, saklama süresi, erişim/silme sahibi ve yedek etkisi tanımlı; örnek silme talebi ilgili kayıt ve türetilmiş çıktılarda uygulanıp izleniyor.</x:v>
      </x:c>
      <x:c r="K33" s="31"/>
      <x:c r="L33" s="24" t="str">
        <x:v>İş gereksinimine göre saklama/silme kararlarını al; üretim deposunda örnek kayıtla uygula.</x:v>
      </x:c>
      <x:c r="M33" s="18"/>
      <x:c r="N33" s="33" t="str">
        <x:v>outputs/gamechangers-pilot/current-setup.json#/storage, outputs/gamechangers-pilot/templates/knowledge-record.schema.json</x:v>
      </x:c>
      <x:c r="O33" s="2"/>
    </x:row>
    <x:row r="34" ht="54" customHeight="1">
      <x:c r="A34" s="23" t="str">
        <x:v>D01</x:v>
      </x:c>
      <x:c r="B34" s="23" t="str">
        <x:v>Yazılım ve bulut mimarisi taslağı</x:v>
      </x:c>
      <x:c r="C34" s="23" t="str">
        <x:v>D · Bulut işletimi</x:v>
      </x:c>
      <x:c r="D34" s="23" t="str">
        <x:v>P0</x:v>
      </x:c>
      <x:c r="E34" s="24" t="str">
        <x:v>Teknik Kurulum</x:v>
      </x:c>
      <x:c r="F34" s="24" t="str">
        <x:v>Tamamlandı</x:v>
      </x:c>
      <x:c r="G34" s="28" t="n">
        <x:v>1</x:v>
      </x:c>
      <x:c r="H34" s="30" t="n">
        <x:v>1</x:v>
      </x:c>
      <x:c r="I34" s="23" t="str">
        <x:v>A01, A02</x:v>
      </x:c>
      <x:c r="J34" s="23" t="str">
        <x:v>Mevcut taslakta çalışma hizmeti, zamanlayıcı, kalıcı kayıt, sır saklama, bilgi alanları ve rol ayrımı tanımlı; dağıtılmış olduğu iddia edilmiyor.</x:v>
      </x:c>
      <x:c r="K34" s="31"/>
      <x:c r="L34" s="24" t="str">
        <x:v>Bu mevcut taslağı D02–D10 adımlarıyla gerçek kurulum ve testlere çevir.</x:v>
      </x:c>
      <x:c r="M34" s="18"/>
      <x:c r="N34" s="33" t="str">
        <x:v>outputs/gamechangers-pilot/current-setup.json#/deployment_recommendation, outputs/gamechangers-pilot/current-setup.json#/storage</x:v>
      </x:c>
      <x:c r="O34" s="2"/>
    </x:row>
    <x:row r="35" ht="68" customHeight="1">
      <x:c r="A35" s="20" t="str">
        <x:v>D02</x:v>
      </x:c>
      <x:c r="B35" s="20" t="str">
        <x:v>Faturalama, güncel bütçe ve gerçek harcama kontrolü</x:v>
      </x:c>
      <x:c r="C35" s="20" t="str">
        <x:v>D · Bulut işletimi</x:v>
      </x:c>
      <x:c r="D35" s="20" t="str">
        <x:v>P0</x:v>
      </x:c>
      <x:c r="E35" s="24" t="str">
        <x:v>Ahmet</x:v>
      </x:c>
      <x:c r="F35" s="24" t="str">
        <x:v>Devam ediyor</x:v>
      </x:c>
      <x:c r="G35" s="28" t="n">
        <x:v>0</x:v>
      </x:c>
      <x:c r="H35" s="29" t="n">
        <x:v>2</x:v>
      </x:c>
      <x:c r="I35" s="20" t="str">
        <x:v>A05</x:v>
      </x:c>
      <x:c r="J35" s="20" t="str">
        <x:v>Güncel dönemin onaylı ortak sınırı, faturalama sahibi, maliyet rezervasyonu ve gerçek kullanım mutabakatı kurulmuş; uyarı tek başına harcama kesici sayılmıyor.</x:v>
      </x:c>
      <x:c r="K35" s="31"/>
      <x:c r="L35" s="24" t="str">
        <x:v>12 Ekim dahil ortak 50 USD onaylandı. Faturalama, işlem öncesi maliyet rezervasyonu, sınırda durdurma ve gerçek kullanım mutabakatını kur.</x:v>
      </x:c>
      <x:c r="M35" s="18"/>
      <x:c r="N35" s="33" t="str">
        <x:v>outputs/Hamle_Butce_Onayi_2026-10-09.json</x:v>
      </x:c>
      <x:c r="O35" s="2"/>
    </x:row>
    <x:row r="36" ht="68" customHeight="1">
      <x:c r="A36" s="23" t="str">
        <x:v>D03</x:v>
      </x:c>
      <x:c r="B36" s="23" t="str">
        <x:v>Model API erişimi ve gerçek model/yetenek doğrulaması</x:v>
      </x:c>
      <x:c r="C36" s="23" t="str">
        <x:v>D · Bulut işletimi</x:v>
      </x:c>
      <x:c r="D36" s="23" t="str">
        <x:v>P0</x:v>
      </x:c>
      <x:c r="E36" s="24" t="str">
        <x:v>Teknik Kurulum</x:v>
      </x:c>
      <x:c r="F36" s="24" t="str">
        <x:v>Devam ediyor</x:v>
      </x:c>
      <x:c r="G36" s="28" t="n">
        <x:v>0</x:v>
      </x:c>
      <x:c r="H36" s="30" t="n">
        <x:v>2</x:v>
      </x:c>
      <x:c r="I36" s="23" t="str">
        <x:v>A05, D02</x:v>
      </x:c>
      <x:c r="J36" s="23" t="str">
        <x:v>Yetkili hesapta istenen model ve ayar gerçek çağrıyla doğrulandı; mevcut değilse kullanıcıya görünür alternatif kararı var; araç çağrısı ve çıktı kaydı alınmış.</x:v>
      </x:c>
      <x:c r="K36" s="31"/>
      <x:c r="L36" s="24" t="str">
        <x:v>Resmî katalogda gpt-6-astra doğrulandı; kullanıcı max ayarını onayladı. Yetkili API hesabı/anahtarı ve gerçek araç çağrısı henüz doğrulanmadı.</x:v>
      </x:c>
      <x:c r="M36" s="18"/>
      <x:c r="N36" s="33" t="str">
        <x:v>outputs/Hamle_Model_API_On_Kontrol_2026-10-09.json</x:v>
      </x:c>
      <x:c r="O36" s="2"/>
    </x:row>
    <x:row r="37" ht="54" customHeight="1">
      <x:c r="A37" s="20" t="str">
        <x:v>D04</x:v>
      </x:c>
      <x:c r="B37" s="20" t="str">
        <x:v>Cloud Run çalışma hizmeti</x:v>
      </x:c>
      <x:c r="C37" s="20" t="str">
        <x:v>D · Bulut işletimi</x:v>
      </x:c>
      <x:c r="D37" s="20" t="str">
        <x:v>P0</x:v>
      </x:c>
      <x:c r="E37" s="24" t="str">
        <x:v>Teknik Kurulum</x:v>
      </x:c>
      <x:c r="F37" s="24" t="str">
        <x:v>Başlanmadı</x:v>
      </x:c>
      <x:c r="G37" s="28" t="n">
        <x:v>0</x:v>
      </x:c>
      <x:c r="H37" s="29" t="n">
        <x:v>2</x:v>
      </x:c>
      <x:c r="I37" s="20" t="str">
        <x:v>D01, D02, D03</x:v>
      </x:c>
      <x:c r="J37" s="20" t="str">
        <x:v>Yetkili projede sürümlü hizmet çalışıyor; kimlik doğrulama ve sağlık kaydı mevcut; bilgisayar kapalıyken kontrollü iç işi tamamlıyor.</x:v>
      </x:c>
      <x:c r="K37" s="31"/>
      <x:c r="L37" s="24" t="str">
        <x:v>Onaylı ortamda ilk iç çalışma hizmetini dağıt ve bilgisayardan bağımsız yürütmeyi doğrula.</x:v>
      </x:c>
      <x:c r="M37" s="18"/>
      <x:c r="N37" s="33" t="str">
        <x:v>outputs/Hamle_Google_Cloud_Kurulum_2026-10-09.json#/autonomous_runtime_deployed, outputs/gamechangers-pilot/current-setup.json#/deployment_recommendation</x:v>
      </x:c>
      <x:c r="O37" s="2"/>
    </x:row>
    <x:row r="38" ht="54" customHeight="1">
      <x:c r="A38" s="23" t="str">
        <x:v>D05</x:v>
      </x:c>
      <x:c r="B38" s="23" t="str">
        <x:v>Kalıcı iş kaydı, kilit ve tekrar gönderim engeli</x:v>
      </x:c>
      <x:c r="C38" s="23" t="str">
        <x:v>D · Bulut işletimi</x:v>
      </x:c>
      <x:c r="D38" s="23" t="str">
        <x:v>P0</x:v>
      </x:c>
      <x:c r="E38" s="24" t="str">
        <x:v>Teknik Kurulum</x:v>
      </x:c>
      <x:c r="F38" s="24" t="str">
        <x:v>Başlanmadı</x:v>
      </x:c>
      <x:c r="G38" s="28" t="n">
        <x:v>0</x:v>
      </x:c>
      <x:c r="H38" s="30" t="n">
        <x:v>3</x:v>
      </x:c>
      <x:c r="I38" s="23" t="str">
        <x:v>D04</x:v>
      </x:c>
      <x:c r="J38" s="23" t="str">
        <x:v>İş/olay/aksiyon sürümü kalıcı; eşzamanlı iki çalışandan yalnız biri işlemi sahiplenebiliyor; kesinti sonrası sürüyor; sonucu belirsiz yazma kendiliğinden tekrarlanmıyor.</x:v>
      </x:c>
      <x:c r="K38" s="31"/>
      <x:c r="L38" s="24" t="str">
        <x:v>Sentetik kuralları üretim deposuna uygula; eşzamanlılık ve gönderim sınırında kesinti testini çalıştır.</x:v>
      </x:c>
      <x:c r="M38" s="18"/>
      <x:c r="N38" s="33" t="str">
        <x:v>outputs/gamechangers-pilot/current-setup.json#/storage, outputs/gamechangers-pilot/offline/test-results.json</x:v>
      </x:c>
      <x:c r="O38" s="2"/>
    </x:row>
    <x:row r="39" ht="54" customHeight="1">
      <x:c r="A39" s="20" t="str">
        <x:v>D06</x:v>
      </x:c>
      <x:c r="B39" s="20" t="str">
        <x:v>Sır kasası, asgari yetki ve rol erişimi</x:v>
      </x:c>
      <x:c r="C39" s="20" t="str">
        <x:v>D · Bulut işletimi</x:v>
      </x:c>
      <x:c r="D39" s="20" t="str">
        <x:v>P0</x:v>
      </x:c>
      <x:c r="E39" s="24" t="str">
        <x:v>Teknik Kurulum</x:v>
      </x:c>
      <x:c r="F39" s="24" t="str">
        <x:v>Başlanmadı</x:v>
      </x:c>
      <x:c r="G39" s="28" t="n">
        <x:v>0</x:v>
      </x:c>
      <x:c r="H39" s="29" t="n">
        <x:v>2</x:v>
      </x:c>
      <x:c r="I39" s="20" t="str">
        <x:v>D04</x:v>
      </x:c>
      <x:c r="J39" s="20" t="str">
        <x:v>Üretim sırları uygun güvenli depoda; sırlar log/çıktıda yok; rol/marka/araç erişimleri uygulamada sınırlandırılmış ve gereksiz erişim reddediliyor.</x:v>
      </x:c>
      <x:c r="K39" s="31"/>
      <x:c r="L39" s="24" t="str">
        <x:v>Yerel test kimlik bilgilerini üretim yetkisi saymadan hizmet kimliği ve gizli bilgi erişimlerini kur.</x:v>
      </x:c>
      <x:c r="M39" s="18"/>
      <x:c r="N39" s="33" t="str">
        <x:v>outputs/gamechangers-pilot/current-setup.json#/storage, outputs/gamechangers-pilot/current-setup.json#/deployment_recommendation</x:v>
      </x:c>
      <x:c r="O39" s="2"/>
    </x:row>
    <x:row r="40" ht="54" customHeight="1">
      <x:c r="A40" s="23" t="str">
        <x:v>D07</x:v>
      </x:c>
      <x:c r="B40" s="23" t="str">
        <x:v>Hafta içi 21 kontrol ve tatil takvimi</x:v>
      </x:c>
      <x:c r="C40" s="23" t="str">
        <x:v>D · Bulut işletimi</x:v>
      </x:c>
      <x:c r="D40" s="23" t="str">
        <x:v>P0</x:v>
      </x:c>
      <x:c r="E40" s="24" t="str">
        <x:v>Teknik Kurulum</x:v>
      </x:c>
      <x:c r="F40" s="24" t="str">
        <x:v>Başlanmadı</x:v>
      </x:c>
      <x:c r="G40" s="28" t="n">
        <x:v>0</x:v>
      </x:c>
      <x:c r="H40" s="30" t="n">
        <x:v>1</x:v>
      </x:c>
      <x:c r="I40" s="23" t="str">
        <x:v>D04, D05</x:v>
      </x:c>
      <x:c r="J40" s="23" t="str">
        <x:v>Europe/Istanbul hafta içi 08:30 ve 18:30 dahil 30 dakikada bir tam 21 benzersiz zaman dilimi çalışıyor; tatil kuralı açık, hafta sonu sürekli çalışma yok.</x:v>
      </x:c>
      <x:c r="K40" s="31"/>
      <x:c r="L40" s="24" t="str">
        <x:v>Gerçek zamanlayıcıyı ve tatil tercihini yapılandır; tek seferlik hafta sonu testini normal takvimden ayır.</x:v>
      </x:c>
      <x:c r="M40" s="18"/>
      <x:c r="N40" s="33" t="str">
        <x:v>outputs/gamechangers-pilot/current-setup.json#/schedule, outputs/gamechangers-pilot/current-setup.json#/launch_sprint/weekend_override, outputs/gamechangers-pilot/offline/test-results.json</x:v>
      </x:c>
      <x:c r="O40" s="2"/>
    </x:row>
    <x:row r="41" ht="46" customHeight="1">
      <x:c r="A41" s="20" t="str">
        <x:v>D08</x:v>
      </x:c>
      <x:c r="B41" s="20" t="str">
        <x:v>İzleme, kesinti alarmı ve toparlanma</x:v>
      </x:c>
      <x:c r="C41" s="20" t="str">
        <x:v>D · Bulut işletimi</x:v>
      </x:c>
      <x:c r="D41" s="20" t="str">
        <x:v>P0</x:v>
      </x:c>
      <x:c r="E41" s="24" t="str">
        <x:v>Teknik Kurulum</x:v>
      </x:c>
      <x:c r="F41" s="24" t="str">
        <x:v>Başlanmadı</x:v>
      </x:c>
      <x:c r="G41" s="28" t="n">
        <x:v>0</x:v>
      </x:c>
      <x:c r="H41" s="29" t="n">
        <x:v>1</x:v>
      </x:c>
      <x:c r="I41" s="20" t="str">
        <x:v>D04, D05, D07</x:v>
      </x:c>
      <x:c r="J41" s="20" t="str">
        <x:v>Atlanan zaman dilimi, bekleyen iş ve bağlantı hatası bağımsız kontrolde görülüyor; doğru insana alarm gidiyor ve düzelme kaydı var.</x:v>
      </x:c>
      <x:c r="K41" s="31"/>
      <x:c r="L41" s="24" t="str">
        <x:v>Alarm alıcısını/kanalını tanımla; planlı kesintiyle tespit ve toparlanmayı sına.</x:v>
      </x:c>
      <x:c r="M41" s="18"/>
      <x:c r="N41" s="33" t="str">
        <x:v>outputs/gamechangers-pilot/current-setup.json#/schedule/independent_monitor</x:v>
      </x:c>
      <x:c r="O41" s="2"/>
    </x:row>
    <x:row r="42" ht="54" customHeight="1">
      <x:c r="A42" s="23" t="str">
        <x:v>D09</x:v>
      </x:c>
      <x:c r="B42" s="23" t="str">
        <x:v>Yedekten yükleme ve kurtarma</x:v>
      </x:c>
      <x:c r="C42" s="23" t="str">
        <x:v>D · Bulut işletimi</x:v>
      </x:c>
      <x:c r="D42" s="23" t="str">
        <x:v>P0</x:v>
      </x:c>
      <x:c r="E42" s="24" t="str">
        <x:v>Teknik Kurulum</x:v>
      </x:c>
      <x:c r="F42" s="24" t="str">
        <x:v>Başlanmadı</x:v>
      </x:c>
      <x:c r="G42" s="28" t="n">
        <x:v>0</x:v>
      </x:c>
      <x:c r="H42" s="30" t="n">
        <x:v>1</x:v>
      </x:c>
      <x:c r="I42" s="23" t="str">
        <x:v>D05, D06</x:v>
      </x:c>
      <x:c r="J42" s="23" t="str">
        <x:v>Örnek yedek ayrı test alanına yükleniyor; iş/aksiyon kayıtları tutarlı, kayıp ve tekrar üretim olmadan kaldığı yer görülüyor; kurtarma süresi kayıtlı.</x:v>
      </x:c>
      <x:c r="K42" s="31"/>
      <x:c r="L42" s="24" t="str">
        <x:v>Yedekleme ve geri yükleme prosedürünü oluşturup somut iç veriyle dene.</x:v>
      </x:c>
      <x:c r="M42" s="18"/>
      <x:c r="N42" s="33" t="str">
        <x:v>outputs/gamechangers-pilot/current-setup.json#/activation_gates, outputs/gamechangers-pilot/current-setup.json#/storage</x:v>
      </x:c>
      <x:c r="O42" s="2"/>
    </x:row>
    <x:row r="43" ht="54" customHeight="1">
      <x:c r="A43" s="20" t="str">
        <x:v>D10</x:v>
      </x:c>
      <x:c r="B43" s="20" t="str">
        <x:v>Üretim OAuth dönüş adresi, sır taşıma ve yeniden yetki</x:v>
      </x:c>
      <x:c r="C43" s="20" t="str">
        <x:v>D · Bulut işletimi</x:v>
      </x:c>
      <x:c r="D43" s="20" t="str">
        <x:v>P0</x:v>
      </x:c>
      <x:c r="E43" s="24" t="str">
        <x:v>Teknik Kurulum</x:v>
      </x:c>
      <x:c r="F43" s="24" t="str">
        <x:v>Başlanmadı</x:v>
      </x:c>
      <x:c r="G43" s="28" t="n">
        <x:v>0</x:v>
      </x:c>
      <x:c r="H43" s="29" t="n">
        <x:v>1</x:v>
      </x:c>
      <x:c r="I43" s="20" t="str">
        <x:v>B04, B05, D04, D06</x:v>
      </x:c>
      <x:c r="J43" s="20" t="str">
        <x:v>Bulut için uygun OAuth istemci/dönüş akışı doğrulandı; gerekli yeniden yetki alındı; Hamle kimliği ve izinleri korundu; yerel test tokeni gelişigüzel taşınmadı.</x:v>
      </x:c>
      <x:c r="K43" s="31"/>
      <x:c r="L43" s="24" t="str">
        <x:v>Desktop testinden ayrı üretim OAuth akışını seç, yetkilendir ve gerçek bulut hizmetinde sına.</x:v>
      </x:c>
      <x:c r="M43" s="18"/>
      <x:c r="N43" s="33" t="str">
        <x:v>outputs/Hamle_Google_Cloud_Kurulum_2026-10-09.json#/oauth_client_prepared_type, outputs/gamechangers-pilot/current-setup.json#/deployment_recommendation</x:v>
      </x:c>
      <x:c r="O43" s="2"/>
    </x:row>
    <x:row r="44" ht="46" customHeight="1">
      <x:c r="A44" s="23" t="str">
        <x:v>E01</x:v>
      </x:c>
      <x:c r="B44" s="23" t="str">
        <x:v>Katılım ve yetki sınırlarının 35 çevrimdışı testi</x:v>
      </x:c>
      <x:c r="C44" s="23" t="str">
        <x:v>E · Hamle iş akışı</x:v>
      </x:c>
      <x:c r="D44" s="23" t="str">
        <x:v>P0</x:v>
      </x:c>
      <x:c r="E44" s="24" t="str">
        <x:v>Teknik Kurulum</x:v>
      </x:c>
      <x:c r="F44" s="24" t="str">
        <x:v>Tamamlandı</x:v>
      </x:c>
      <x:c r="G44" s="28" t="n">
        <x:v>1</x:v>
      </x:c>
      <x:c r="H44" s="30" t="n">
        <x:v>2</x:v>
      </x:c>
      <x:c r="I44" s="23" t="str">
        <x:v>A01</x:v>
      </x:c>
      <x:c r="J44" s="23" t="str">
        <x:v>35 sentetik kural testi geçti; To/CC, hariç mesaj, insan devri, sürüm, durdurma ve belirsiz işlem kontrolü yerel kapsamda kayıtlı.</x:v>
      </x:c>
      <x:c r="K44" s="31"/>
      <x:c r="L44" s="24" t="str">
        <x:v>Gerçek başlık ve bağlı işleyici davranışını E04/I01'de ayrıca doğrula.</x:v>
      </x:c>
      <x:c r="M44" s="18"/>
      <x:c r="N44" s="33" t="str">
        <x:v>outputs/gamechangers-pilot/offline/test-results.json</x:v>
      </x:c>
      <x:c r="O44" s="2"/>
    </x:row>
    <x:row r="45" ht="54" customHeight="1">
      <x:c r="A45" s="20" t="str">
        <x:v>E02</x:v>
      </x:c>
      <x:c r="B45" s="20" t="str">
        <x:v>10 WAT ve 10 Rabam yazılı mail provası</x:v>
      </x:c>
      <x:c r="C45" s="20" t="str">
        <x:v>E · Hamle iş akışı</x:v>
      </x:c>
      <x:c r="D45" s="20" t="str">
        <x:v>P1</x:v>
      </x:c>
      <x:c r="E45" s="24" t="str">
        <x:v>Cansu</x:v>
      </x:c>
      <x:c r="F45" s="24" t="str">
        <x:v>Tamamlandı</x:v>
      </x:c>
      <x:c r="G45" s="28" t="n">
        <x:v>1</x:v>
      </x:c>
      <x:c r="H45" s="29" t="n">
        <x:v>1</x:v>
      </x:c>
      <x:c r="I45" s="20" t="str">
        <x:v>A03, C02</x:v>
      </x:c>
      <x:c r="J45" s="20" t="str">
        <x:v>Toplam 20 yazılı talep/yanıt örneği kaynak ve rota kurallarıyla incelenmiş; kurgusal prova ve gerçek işlem ayrımı görünür.</x:v>
      </x:c>
      <x:c r="K45" s="31"/>
      <x:c r="L45" s="24" t="str">
        <x:v>Yazılı örnekleri gerçek model başarı testi saymadan I02/I03 değerlendirmesinde kullan.</x:v>
      </x:c>
      <x:c r="M45" s="18"/>
      <x:c r="N45" s="33" t="str">
        <x:v>outputs/gamechangers-pilot/hamle-prova/wat-examples.json, outputs/gamechangers-pilot/hamle-prova/rabam-examples.json</x:v>
      </x:c>
      <x:c r="O45" s="2"/>
    </x:row>
    <x:row r="46" ht="68" customHeight="1">
      <x:c r="A46" s="23" t="str">
        <x:v>E03</x:v>
      </x:c>
      <x:c r="B46" s="23" t="str">
        <x:v>Gerçek başlık, tam dizi, ek ve gönderilmiş yanıt okuması</x:v>
      </x:c>
      <x:c r="C46" s="23" t="str">
        <x:v>E · Hamle iş akışı</x:v>
      </x:c>
      <x:c r="D46" s="23" t="str">
        <x:v>P0</x:v>
      </x:c>
      <x:c r="E46" s="24" t="str">
        <x:v>Teknik Kurulum</x:v>
      </x:c>
      <x:c r="F46" s="24" t="str">
        <x:v>Başlanmadı</x:v>
      </x:c>
      <x:c r="G46" s="28" t="n">
        <x:v>0</x:v>
      </x:c>
      <x:c r="H46" s="30" t="n">
        <x:v>2</x:v>
      </x:c>
      <x:c r="I46" s="23" t="str">
        <x:v>B05, D05</x:v>
      </x:c>
      <x:c r="J46" s="23" t="str">
        <x:v>Yetkili Hamle olayında sağlayıcı başlıkları, görünür ilgili dizi, gerekli ek ve son insan/gönderilmiş yanıt okunuyor; eksik veri açık işaretleniyor.</x:v>
      </x:c>
      <x:c r="K46" s="31"/>
      <x:c r="L46" s="24" t="str">
        <x:v>Tam dizi okumasında kendi giden mesajının engellenmesi geçti. Gelen posta, To/CC, MIME ve gerçek ek senaryolarını uçtan uca tamamla; dış işlemler kapalı.</x:v>
      </x:c>
      <x:c r="M46" s="18"/>
      <x:c r="N46" s="33" t="str">
        <x:v>outputs/gamechangers-pilot/offline/test-results.json#/unverified, outputs/gamechangers-pilot/current-setup.json#/mail_participation, outputs/Hamle_Gmail_Baslik_Gercek_Test_2026-10-09.json</x:v>
      </x:c>
      <x:c r="O46" s="2"/>
    </x:row>
    <x:row r="47" ht="68" customHeight="1">
      <x:c r="A47" s="20" t="str">
        <x:v>E04</x:v>
      </x:c>
      <x:c r="B47" s="20" t="str">
        <x:v>Her aksiyondan önce gerçek To/CC ve yetki iptali</x:v>
      </x:c>
      <x:c r="C47" s="20" t="str">
        <x:v>E · Hamle iş akışı</x:v>
      </x:c>
      <x:c r="D47" s="20" t="str">
        <x:v>P0</x:v>
      </x:c>
      <x:c r="E47" s="24" t="str">
        <x:v>Teknik Kurulum</x:v>
      </x:c>
      <x:c r="F47" s="24" t="str">
        <x:v>Başlanmadı</x:v>
      </x:c>
      <x:c r="G47" s="28" t="n">
        <x:v>0</x:v>
      </x:c>
      <x:c r="H47" s="29" t="n">
        <x:v>3</x:v>
      </x:c>
      <x:c r="I47" s="20" t="str">
        <x:v>E01, E03, D05, D06, D10</x:v>
      </x:c>
      <x:c r="J47" s="20" t="str">
        <x:v>İş/brief/revizyon/üretim/Basecamp/gönderim öncesi en güncel meşru katılım kontrolü var; gözlenen çıkarılma bekleyen işi durduruyor; görünmeyen çıkarılma biliniyor denmiyor; yeniden dahil olma yalnız yeni kapsamı açıyor.</x:v>
      </x:c>
      <x:c r="K47" s="31"/>
      <x:c r="L47" s="24" t="str">
        <x:v>Kendi giden mesajını engelleme geçti. Görünmeyen CC çıkarma için yetkili stop olayı, insan devralma ve her dış işlem öncesi kontrolü uçtan uca kur.</x:v>
      </x:c>
      <x:c r="M47" s="18"/>
      <x:c r="N47" s="33" t="str">
        <x:v>outputs/gamechangers-pilot/current-setup.json#/message_participation_gate, outputs/gamechangers-pilot/offline/test-results.json, outputs/Hamle_Gmail_Baslik_Gercek_Test_2026-10-09.json</x:v>
      </x:c>
      <x:c r="O47" s="2"/>
    </x:row>
    <x:row r="48" ht="54" customHeight="1">
      <x:c r="A48" s="23" t="str">
        <x:v>E05</x:v>
      </x:c>
      <x:c r="B48" s="23" t="str">
        <x:v>Canlı brief, karar yönlendirmesi, devir ve atama</x:v>
      </x:c>
      <x:c r="C48" s="23" t="str">
        <x:v>E · Hamle iş akışı</x:v>
      </x:c>
      <x:c r="D48" s="23" t="str">
        <x:v>P0</x:v>
      </x:c>
      <x:c r="E48" s="24" t="str">
        <x:v>Cansu</x:v>
      </x:c>
      <x:c r="F48" s="24" t="str">
        <x:v>Başlanmadı</x:v>
      </x:c>
      <x:c r="G48" s="28" t="n">
        <x:v>0</x:v>
      </x:c>
      <x:c r="H48" s="30" t="n">
        <x:v>2</x:v>
      </x:c>
      <x:c r="I48" s="23" t="str">
        <x:v>A04, B10, C07, E04, D03</x:v>
      </x:c>
      <x:c r="J48" s="23" t="str">
        <x:v>Yetkili iş tek kayda dönüşüyor; dört karar rotası ve karma niyet doğru kişilere gidiyor; brief sürümü/sorumlu/termin/devir kabulü görünür; rutin revizyona gereksiz yeni Ahmet onayı istenmiyor.</x:v>
      </x:c>
      <x:c r="K48" s="31"/>
      <x:c r="L48" s="24" t="str">
        <x:v>Kontrollü iç işlerde dört rota ve karma talebi gerçek çalışan üzerinden yürüt; insan sahiplerin kabulünü kaydet.</x:v>
      </x:c>
      <x:c r="M48" s="18"/>
      <x:c r="N48" s="33" t="str">
        <x:v>outputs/gamechangers-pilot/current-setup.json#/routing_policy, outputs/gamechangers-pilot/templates/brief-version.template.json, outputs/gamechangers-pilot/templates/handoff.template.json</x:v>
      </x:c>
      <x:c r="O48" s="2"/>
    </x:row>
    <x:row r="49" ht="54" customHeight="1">
      <x:c r="A49" s="20" t="str">
        <x:v>E06</x:v>
      </x:c>
      <x:c r="B49" s="20" t="str">
        <x:v>Basecamp revizyon, sürüm, onay ve insan devralması</x:v>
      </x:c>
      <x:c r="C49" s="20" t="str">
        <x:v>E · Hamle iş akışı</x:v>
      </x:c>
      <x:c r="D49" s="20" t="str">
        <x:v>P0</x:v>
      </x:c>
      <x:c r="E49" s="24" t="str">
        <x:v>Teknik Kurulum</x:v>
      </x:c>
      <x:c r="F49" s="24" t="str">
        <x:v>Başlanmadı</x:v>
      </x:c>
      <x:c r="G49" s="28" t="n">
        <x:v>0</x:v>
      </x:c>
      <x:c r="H49" s="29" t="n">
        <x:v>2</x:v>
      </x:c>
      <x:c r="I49" s="20" t="str">
        <x:v>B09, E05</x:v>
      </x:c>
      <x:c r="J49" s="20" t="str">
        <x:v>Görev/yorum/dosya sürümü aynı işe bağlı; müşteri onayı doğru yetkili ve sürüme bağlı; insan devralınca otomatik işlem duruyor ve yaptığı yanıt tekrarlanmıyor.</x:v>
      </x:c>
      <x:c r="K49" s="31"/>
      <x:c r="L49" s="24" t="str">
        <x:v>İç görevde iki revizyon, yanlış sürüm onayı ve insan devralması senaryolarını uçtan uca sına.</x:v>
      </x:c>
      <x:c r="M49" s="18"/>
      <x:c r="N49" s="33" t="str">
        <x:v>outputs/gamechangers-pilot/offline/test-results.json, outputs/gamechangers-pilot/current-setup.json#/routing_policy/single_customer_flow</x:v>
      </x:c>
      <x:c r="O49" s="2"/>
    </x:row>
    <x:row r="50" ht="54" customHeight="1">
      <x:c r="A50" s="23" t="str">
        <x:v>E07</x:v>
      </x:c>
      <x:c r="B50" s="23" t="str">
        <x:v>Çıkış mailinde alıcı, dosya QA ve gönderim kaydı</x:v>
      </x:c>
      <x:c r="C50" s="23" t="str">
        <x:v>E · Hamle iş akışı</x:v>
      </x:c>
      <x:c r="D50" s="23" t="str">
        <x:v>P0</x:v>
      </x:c>
      <x:c r="E50" s="24" t="str">
        <x:v>Teknik Kurulum</x:v>
      </x:c>
      <x:c r="F50" s="24" t="str">
        <x:v>Başlanmadı</x:v>
      </x:c>
      <x:c r="G50" s="28" t="n">
        <x:v>0</x:v>
      </x:c>
      <x:c r="H50" s="30" t="n">
        <x:v>1</x:v>
      </x:c>
      <x:c r="I50" s="23" t="str">
        <x:v>B06, E04, E06</x:v>
      </x:c>
      <x:c r="J50" s="23" t="str">
        <x:v>Gerçek çıkışta doğru marka/alıcı/zincir, yetkili güncel dosya ve iç not ayrımı doğrulanıyor; gönderim niyeti ve sonucu kalıcı; kabul/teslim farklı kaydediliyor.</x:v>
      </x:c>
      <x:c r="K50" s="31"/>
      <x:c r="L50" s="24" t="str">
        <x:v>İç teslim mailini yanlış alıcı/eski dosya denemeleriyle sına; gönderim sınırında yetkiyi yeniden kontrol et.</x:v>
      </x:c>
      <x:c r="M50" s="18"/>
      <x:c r="N50" s="33" t="str">
        <x:v>outputs/gamechangers-pilot/current-setup.json#/authority, outputs/gamechangers-pilot/offline/test-results.json, work/hamle-gmail-connector/test-results.json</x:v>
      </x:c>
      <x:c r="O50" s="2"/>
    </x:row>
    <x:row r="51" ht="68" customHeight="1">
      <x:c r="A51" s="20" t="str">
        <x:v>E08</x:v>
      </x:c>
      <x:c r="B51" s="20" t="str">
        <x:v>Takipler, sabah özeti ve özel dönem takvimi</x:v>
      </x:c>
      <x:c r="C51" s="20" t="str">
        <x:v>E · Hamle iş akışı</x:v>
      </x:c>
      <x:c r="D51" s="20" t="str">
        <x:v>P1</x:v>
      </x:c>
      <x:c r="E51" s="24" t="str">
        <x:v>Özge</x:v>
      </x:c>
      <x:c r="F51" s="24" t="str">
        <x:v>Başlanmadı</x:v>
      </x:c>
      <x:c r="G51" s="28" t="n">
        <x:v>0</x:v>
      </x:c>
      <x:c r="H51" s="29" t="n">
        <x:v>2</x:v>
      </x:c>
      <x:c r="I51" s="20" t="str">
        <x:v>C06, D07, E05, E07</x:v>
      </x:c>
      <x:c r="J51" s="20" t="str">
        <x:v>Mevcut başlangıç seçimiyle ilk başarılı08:30turundan sonra Hamle hesabından Ahmet’e sabah özeti; takipler ve özel gün hazırlıkları gerçek kayıtlarla tek kez üretiliyor; hariç mail içeriği girdi olmuyor.</x:v>
      </x:c>
      <x:c r="K51" s="31"/>
      <x:c r="L51" s="24" t="str">
        <x:v>Yetkili örnek iş ve tarih kayıtlarıyla hatırlatma/özet testini yap; teslimini ve tekrar engelini doğrula.</x:v>
      </x:c>
      <x:c r="M51" s="18"/>
      <x:c r="N51" s="33" t="str">
        <x:v>outputs/gamechangers-pilot/current-setup.json#/notification_policy, outputs/gamechangers-pilot/current-setup.json#/proactive_dates</x:v>
      </x:c>
      <x:c r="O51" s="2"/>
    </x:row>
    <x:row r="52" ht="54" customHeight="1">
      <x:c r="A52" s="23" t="str">
        <x:v>E09</x:v>
      </x:c>
      <x:c r="B52" s="23" t="str">
        <x:v>Otomatik yanıt döngüsü ve belirsiz teslim yönetimi</x:v>
      </x:c>
      <x:c r="C52" s="23" t="str">
        <x:v>E · Hamle iş akışı</x:v>
      </x:c>
      <x:c r="D52" s="23" t="str">
        <x:v>P0</x:v>
      </x:c>
      <x:c r="E52" s="24" t="str">
        <x:v>Teknik Kurulum</x:v>
      </x:c>
      <x:c r="F52" s="24" t="str">
        <x:v>Başlanmadı</x:v>
      </x:c>
      <x:c r="G52" s="28" t="n">
        <x:v>0</x:v>
      </x:c>
      <x:c r="H52" s="30" t="n">
        <x:v>1</x:v>
      </x:c>
      <x:c r="I52" s="23" t="str">
        <x:v>E03, E04, E07</x:v>
      </x:c>
      <x:c r="J52" s="23" t="str">
        <x:v>Kendi gönderisi, otomatik cevap ve mükerrer sağlayıcı olayı yeni iş/yanıt açmıyor; belirsiz gönderim insan uzlaştırmasına gidiyor ve otomatik tekrar yok.</x:v>
      </x:c>
      <x:c r="K52" s="31"/>
      <x:c r="L52" s="24" t="str">
        <x:v>Gerçek iç işleyicide kendi mail yankısı, otoyanıt, tekrar olay ve yanıtı kesilen gönderim testlerini yap.</x:v>
      </x:c>
      <x:c r="M52" s="18"/>
      <x:c r="N52" s="33" t="str">
        <x:v>outputs/gamechangers-pilot/offline/test-results.json, work/hamle-gmail-connector/test-results.json</x:v>
      </x:c>
      <x:c r="O52" s="2"/>
    </x:row>
    <x:row r="53" ht="54" customHeight="1">
      <x:c r="A53" s="20" t="str">
        <x:v>F01</x:v>
      </x:c>
      <x:c r="B53" s="20" t="str">
        <x:v>Metin rolünün model ve üretim aracı bağlantısı</x:v>
      </x:c>
      <x:c r="C53" s="20" t="str">
        <x:v>F · Metin</x:v>
      </x:c>
      <x:c r="D53" s="20" t="str">
        <x:v>P1</x:v>
      </x:c>
      <x:c r="E53" s="24" t="str">
        <x:v>Teknik Kurulum</x:v>
      </x:c>
      <x:c r="F53" s="24" t="str">
        <x:v>Başlanmadı</x:v>
      </x:c>
      <x:c r="G53" s="28" t="n">
        <x:v>0</x:v>
      </x:c>
      <x:c r="H53" s="29" t="n">
        <x:v>2</x:v>
      </x:c>
      <x:c r="I53" s="20" t="str">
        <x:v>D03, D04, D06</x:v>
      </x:c>
      <x:c r="J53" s="20" t="str">
        <x:v>Metin rolü hedef ortamda doğrulanmış model/araçla ayrı iş bağlamında çalışıyor; müşteri gönderimi yetkisi yok; çıktı ve hata kaydı tutuluyor.</x:v>
      </x:c>
      <x:c r="K53" s="31"/>
      <x:c r="L53" s="24" t="str">
        <x:v>Metin rolünü kur; kontrollü brief ile dosya üretimi ve Hamle'ye özel devir bağlantısını doğrula.</x:v>
      </x:c>
      <x:c r="M53" s="18"/>
      <x:c r="N53" s="33" t="str">
        <x:v>outputs/gamechangers-pilot/roles/copywriter.json</x:v>
      </x:c>
      <x:c r="O53" s="2"/>
    </x:row>
    <x:row r="54" ht="54" customHeight="1">
      <x:c r="A54" s="23" t="str">
        <x:v>F02</x:v>
      </x:c>
      <x:c r="B54" s="23" t="str">
        <x:v>Metin için onaylı marka kaynaklarını çağırma</x:v>
      </x:c>
      <x:c r="C54" s="23" t="str">
        <x:v>F · Metin</x:v>
      </x:c>
      <x:c r="D54" s="23" t="str">
        <x:v>P1</x:v>
      </x:c>
      <x:c r="E54" s="24" t="str">
        <x:v>Cansu</x:v>
      </x:c>
      <x:c r="F54" s="24" t="str">
        <x:v>Başlanmadı</x:v>
      </x:c>
      <x:c r="G54" s="28" t="n">
        <x:v>0</x:v>
      </x:c>
      <x:c r="H54" s="30" t="n">
        <x:v>1</x:v>
      </x:c>
      <x:c r="I54" s="23" t="str">
        <x:v>C05, C07, F01</x:v>
      </x:c>
      <x:c r="J54" s="23" t="str">
        <x:v>Metin rolü güncel ilgili marka tonu/iddiaları ve reddedilmiş yönleri getiriyor; başka marka verisi veya eski fiyat güncel gerçek yapılmıyor.</x:v>
      </x:c>
      <x:c r="K54" s="31"/>
      <x:c r="L54" s="24" t="str">
        <x:v>En az bir hazır markada doğru/eski/yanlış marka kaynaklarıyla kontrol seti oluştur ve sına.</x:v>
      </x:c>
      <x:c r="M54" s="18"/>
      <x:c r="N54" s="33" t="str">
        <x:v>outputs/gamechangers-pilot/roles/copywriter.json</x:v>
      </x:c>
      <x:c r="O54" s="2"/>
    </x:row>
    <x:row r="55" ht="54" customHeight="1">
      <x:c r="A55" s="20" t="str">
        <x:v>F03</x:v>
      </x:c>
      <x:c r="B55" s="20" t="str">
        <x:v>Yapılandırılmış brief'ten metin çıktısı</x:v>
      </x:c>
      <x:c r="C55" s="20" t="str">
        <x:v>F · Metin</x:v>
      </x:c>
      <x:c r="D55" s="20" t="str">
        <x:v>P1</x:v>
      </x:c>
      <x:c r="E55" s="24" t="str">
        <x:v>Cansu</x:v>
      </x:c>
      <x:c r="F55" s="24" t="str">
        <x:v>Başlanmadı</x:v>
      </x:c>
      <x:c r="G55" s="28" t="n">
        <x:v>0</x:v>
      </x:c>
      <x:c r="H55" s="29" t="n">
        <x:v>1</x:v>
      </x:c>
      <x:c r="I55" s="20" t="str">
        <x:v>F02, E05</x:v>
      </x:c>
      <x:c r="J55" s="20" t="str">
        <x:v>Brief amacı, hedef kitle, mecra, zorunlu bilgi ve çağrıya uygun sürümlü metin üretiliyor; kritik eksik için doğru kişiye soru gidiyor.</x:v>
      </x:c>
      <x:c r="K55" s="31"/>
      <x:c r="L55" s="24" t="str">
        <x:v>Tanımlı mecra ve iş türleri için brief→taslak→devir akışını iç örneklerle çalıştır.</x:v>
      </x:c>
      <x:c r="M55" s="18"/>
      <x:c r="N55" s="33" t="str">
        <x:v>outputs/gamechangers-pilot/roles/copywriter.json, outputs/gamechangers-pilot/templates/brief-version.template.json</x:v>
      </x:c>
      <x:c r="O55" s="2"/>
    </x:row>
    <x:row r="56" ht="54" customHeight="1">
      <x:c r="A56" s="23" t="str">
        <x:v>F04</x:v>
      </x:c>
      <x:c r="B56" s="23" t="str">
        <x:v>İddia, dil ve marka tonu kalite kontrolü</x:v>
      </x:c>
      <x:c r="C56" s="23" t="str">
        <x:v>F · Metin</x:v>
      </x:c>
      <x:c r="D56" s="23" t="str">
        <x:v>P0</x:v>
      </x:c>
      <x:c r="E56" s="24" t="str">
        <x:v>Cansu</x:v>
      </x:c>
      <x:c r="F56" s="24" t="str">
        <x:v>Başlanmadı</x:v>
      </x:c>
      <x:c r="G56" s="28" t="n">
        <x:v>0</x:v>
      </x:c>
      <x:c r="H56" s="30" t="n">
        <x:v>2</x:v>
      </x:c>
      <x:c r="I56" s="23" t="str">
        <x:v>F03</x:v>
      </x:c>
      <x:c r="J56" s="23" t="str">
        <x:v>Türkçe, mecra sınırı, marka tonu, kaynaklı iddia ve zorunlu bilgiler kontrol ediliyor; doğrulanmamış iddia yayına/teslime çıkmıyor.</x:v>
      </x:c>
      <x:c r="K56" s="31"/>
      <x:c r="L56" s="24" t="str">
        <x:v>Yanlış ürün iddiası, örnek fiyat, eski karar ve bilinen müşteri retleri içeren örneklerle QA kaydı oluştur.</x:v>
      </x:c>
      <x:c r="M56" s="18"/>
      <x:c r="N56" s="33" t="str">
        <x:v>outputs/gamechangers-pilot/roles/copywriter.json</x:v>
      </x:c>
      <x:c r="O56" s="2"/>
    </x:row>
    <x:row r="57" ht="54" customHeight="1">
      <x:c r="A57" s="20" t="str">
        <x:v>F05</x:v>
      </x:c>
      <x:c r="B57" s="20" t="str">
        <x:v>Gerçek iç metin revizyon ve kabul vakaları</x:v>
      </x:c>
      <x:c r="C57" s="20" t="str">
        <x:v>F · Metin</x:v>
      </x:c>
      <x:c r="D57" s="20" t="str">
        <x:v>P1</x:v>
      </x:c>
      <x:c r="E57" s="24" t="str">
        <x:v>Cansu</x:v>
      </x:c>
      <x:c r="F57" s="24" t="str">
        <x:v>Başlanmadı</x:v>
      </x:c>
      <x:c r="G57" s="28" t="n">
        <x:v>0</x:v>
      </x:c>
      <x:c r="H57" s="29" t="n">
        <x:v>2</x:v>
      </x:c>
      <x:c r="I57" s="20" t="str">
        <x:v>F04, E06</x:v>
      </x:c>
      <x:c r="J57" s="20" t="str">
        <x:v>Önceden tanımlı iç vakalarda talep→metin→insan geri bildirimi→yeni sürüm→kabul tam döngüsü geçiyor; ret gerekçesi ve kabul sürümü kayıtlı.</x:v>
      </x:c>
      <x:c r="K57" s="31"/>
      <x:c r="L57" s="24" t="str">
        <x:v>Kabul vakalarını Cansu ile belirle; gerçek revizyonları ilgili sürüm ve değerlendirme formuyla tamamla.</x:v>
      </x:c>
      <x:c r="M57" s="18"/>
      <x:c r="N57" s="33" t="str">
        <x:v>outputs/gamechangers-pilot/roles/copywriter.json</x:v>
      </x:c>
      <x:c r="O57" s="2"/>
    </x:row>
    <x:row r="58" ht="54" customHeight="1">
      <x:c r="A58" s="23" t="str">
        <x:v>G01</x:v>
      </x:c>
      <x:c r="B58" s="23" t="str">
        <x:v>Marka varlıkları, font ve kullanım lisansları</x:v>
      </x:c>
      <x:c r="C58" s="23" t="str">
        <x:v>G · Grafik</x:v>
      </x:c>
      <x:c r="D58" s="23" t="str">
        <x:v>P1</x:v>
      </x:c>
      <x:c r="E58" s="24" t="str">
        <x:v>Tasarım sorumlusu atanacak</x:v>
      </x:c>
      <x:c r="F58" s="24" t="str">
        <x:v>Bekliyor</x:v>
      </x:c>
      <x:c r="G58" s="28" t="n">
        <x:v>0</x:v>
      </x:c>
      <x:c r="H58" s="30" t="n">
        <x:v>2</x:v>
      </x:c>
      <x:c r="I58" s="23" t="str">
        <x:v>C05</x:v>
      </x:c>
      <x:c r="J58" s="23" t="str">
        <x:v>Kullanılacak logo, görsel, font ve üretim dosyalarının güncel sürümü/kullanım hakkı belli; eksik veya lisansı belirsiz varlık üretime girmiyor.</x:v>
      </x:c>
      <x:c r="K58" s="31"/>
      <x:c r="L58" s="24" t="str">
        <x:v>Tasarım sorumlusunu ata; kaynak marka varlıkları ve font/lisans envanterini doğrula.</x:v>
      </x:c>
      <x:c r="M58" s="18"/>
      <x:c r="N58" s="33" t="str">
        <x:v>outputs/gamechangers-pilot/roles/graphic_designer.json, outputs/gamechangers-pilot/coverage.json#/attachments</x:v>
      </x:c>
      <x:c r="O58" s="2"/>
    </x:row>
    <x:row r="59" ht="54" customHeight="1">
      <x:c r="A59" s="20" t="str">
        <x:v>G02</x:v>
      </x:c>
      <x:c r="B59" s="20" t="str">
        <x:v>Grafik üretim aracına entegrasyon</x:v>
      </x:c>
      <x:c r="C59" s="20" t="str">
        <x:v>G · Grafik</x:v>
      </x:c>
      <x:c r="D59" s="20" t="str">
        <x:v>P1</x:v>
      </x:c>
      <x:c r="E59" s="24" t="str">
        <x:v>Teknik Kurulum</x:v>
      </x:c>
      <x:c r="F59" s="24" t="str">
        <x:v>Başlanmadı</x:v>
      </x:c>
      <x:c r="G59" s="28" t="n">
        <x:v>0</x:v>
      </x:c>
      <x:c r="H59" s="29" t="n">
        <x:v>2</x:v>
      </x:c>
      <x:c r="I59" s="20" t="str">
        <x:v>D04, D06, G01</x:v>
      </x:c>
      <x:c r="J59" s="20" t="str">
        <x:v>Yetkili grafik aracı tanımlı iş alanında dosya açma/üretme/kaydetme yapıyor; maliyet ve erişim sınırı uygulanıyor.</x:v>
      </x:c>
      <x:c r="K59" s="31"/>
      <x:c r="L59" s="24" t="str">
        <x:v>Seçilen grafik aracını bağla; basit iç işte üretim ve dosya geri okuma denemesi yap.</x:v>
      </x:c>
      <x:c r="M59" s="18"/>
      <x:c r="N59" s="33" t="str">
        <x:v>outputs/gamechangers-pilot/roles/graphic_designer.json</x:v>
      </x:c>
      <x:c r="O59" s="2"/>
    </x:row>
    <x:row r="60" ht="54" customHeight="1">
      <x:c r="A60" s="23" t="str">
        <x:v>G03</x:v>
      </x:c>
      <x:c r="B60" s="23" t="str">
        <x:v>Ölçü varyantları, düzenlenebilir ve final çıktı</x:v>
      </x:c>
      <x:c r="C60" s="23" t="str">
        <x:v>G · Grafik</x:v>
      </x:c>
      <x:c r="D60" s="23" t="str">
        <x:v>P1</x:v>
      </x:c>
      <x:c r="E60" s="24" t="str">
        <x:v>Tasarım sorumlusu atanacak</x:v>
      </x:c>
      <x:c r="F60" s="24" t="str">
        <x:v>Başlanmadı</x:v>
      </x:c>
      <x:c r="G60" s="28" t="n">
        <x:v>0</x:v>
      </x:c>
      <x:c r="H60" s="30" t="n">
        <x:v>2</x:v>
      </x:c>
      <x:c r="I60" s="23" t="str">
        <x:v>G02, E05</x:v>
      </x:c>
      <x:c r="J60" s="23" t="str">
        <x:v>Canlıya açılacak ölçü/format listesinde doğru ebat ve güvenli alanla düzenlenebilir kaynak ve final dosya oluşuyor; dosya sürümleri iş kaydıyla eşleşiyor.</x:v>
      </x:c>
      <x:c r="K60" s="31"/>
      <x:c r="L60" s="24" t="str">
        <x:v>İlk grafik formatlarını seç; aynı brief'ten kaynak dosya ve gerekli varyantları üret.</x:v>
      </x:c>
      <x:c r="M60" s="18"/>
      <x:c r="N60" s="33" t="str">
        <x:v>outputs/gamechangers-pilot/roles/graphic_designer.json</x:v>
      </x:c>
      <x:c r="O60" s="2"/>
    </x:row>
    <x:row r="61" ht="54" customHeight="1">
      <x:c r="A61" s="20" t="str">
        <x:v>G04</x:v>
      </x:c>
      <x:c r="B61" s="20" t="str">
        <x:v>Gerçek grafik çıktısının görsel kalite kontrolü</x:v>
      </x:c>
      <x:c r="C61" s="20" t="str">
        <x:v>G · Grafik</x:v>
      </x:c>
      <x:c r="D61" s="20" t="str">
        <x:v>P0</x:v>
      </x:c>
      <x:c r="E61" s="24" t="str">
        <x:v>Tasarım sorumlusu atanacak</x:v>
      </x:c>
      <x:c r="F61" s="24" t="str">
        <x:v>Başlanmadı</x:v>
      </x:c>
      <x:c r="G61" s="28" t="n">
        <x:v>0</x:v>
      </x:c>
      <x:c r="H61" s="29" t="n">
        <x:v>2</x:v>
      </x:c>
      <x:c r="I61" s="20" t="str">
        <x:v>G03</x:v>
      </x:c>
      <x:c r="J61" s="20" t="str">
        <x:v>Her açılacak format render edilip görülmüş; logo, metin, font, renk, taşma, okunurluk, ebat ve kaynak doğruluğu kontrol kaydı var.</x:v>
      </x:c>
      <x:c r="K61" s="31"/>
      <x:c r="L61" s="24" t="str">
        <x:v>Üretilen final dosyaları aç ve her varyantı kontrol et; düzeltilen sürümü yeniden incele.</x:v>
      </x:c>
      <x:c r="M61" s="18"/>
      <x:c r="N61" s="33" t="str">
        <x:v>outputs/gamechangers-pilot/roles/graphic_designer.json</x:v>
      </x:c>
      <x:c r="O61" s="2"/>
    </x:row>
    <x:row r="62" ht="54" customHeight="1">
      <x:c r="A62" s="23" t="str">
        <x:v>G05</x:v>
      </x:c>
      <x:c r="B62" s="23" t="str">
        <x:v>Gerçek iç grafik revizyon ve kabul vakaları</x:v>
      </x:c>
      <x:c r="C62" s="23" t="str">
        <x:v>G · Grafik</x:v>
      </x:c>
      <x:c r="D62" s="23" t="str">
        <x:v>P1</x:v>
      </x:c>
      <x:c r="E62" s="24" t="str">
        <x:v>Tasarım sorumlusu atanacak</x:v>
      </x:c>
      <x:c r="F62" s="24" t="str">
        <x:v>Başlanmadı</x:v>
      </x:c>
      <x:c r="G62" s="28" t="n">
        <x:v>0</x:v>
      </x:c>
      <x:c r="H62" s="30" t="n">
        <x:v>2</x:v>
      </x:c>
      <x:c r="I62" s="23" t="str">
        <x:v>G04, E06</x:v>
      </x:c>
      <x:c r="J62" s="23" t="str">
        <x:v>Tanımlı iç grafik vakaları brief→çıktı→insan revizyonu→yeni sürüm→kabul döngüsünü tamamlıyor; kabul dosyası ve kaynak dosya eşleşiyor.</x:v>
      </x:c>
      <x:c r="K62" s="31"/>
      <x:c r="L62" s="24" t="str">
        <x:v>Tasarım sorumlusuyla ölçütleri belirle; gerçek iç revizyonları dosya sürümü ve görsel QA ile tamamla.</x:v>
      </x:c>
      <x:c r="M62" s="18"/>
      <x:c r="N62" s="33" t="str">
        <x:v>outputs/gamechangers-pilot/roles/graphic_designer.json</x:v>
      </x:c>
      <x:c r="O62" s="2"/>
    </x:row>
    <x:row r="63" ht="54" customHeight="1">
      <x:c r="A63" s="20" t="str">
        <x:v>H01</x:v>
      </x:c>
      <x:c r="B63" s="20" t="str">
        <x:v>Animasyon araçları, varlıklar ve müzik lisansları</x:v>
      </x:c>
      <x:c r="C63" s="20" t="str">
        <x:v>H · Animasyon</x:v>
      </x:c>
      <x:c r="D63" s="20" t="str">
        <x:v>P2</x:v>
      </x:c>
      <x:c r="E63" s="24" t="str">
        <x:v>Tasarım sorumlusu atanacak</x:v>
      </x:c>
      <x:c r="F63" s="24" t="str">
        <x:v>Bekliyor</x:v>
      </x:c>
      <x:c r="G63" s="28" t="n">
        <x:v>0</x:v>
      </x:c>
      <x:c r="H63" s="29" t="n">
        <x:v>2</x:v>
      </x:c>
      <x:c r="I63" s="20" t="str">
        <x:v>C05, D02</x:v>
      </x:c>
      <x:c r="J63" s="20" t="str">
        <x:v>Geniş animasyon kapsamı, araçları, ses/müzik/görüntü hakları ve üretim sorumlusu belirli; satın alma ve ses kimliği izinleri açık.</x:v>
      </x:c>
      <x:c r="K63" s="31"/>
      <x:c r="L63" s="24" t="str">
        <x:v>Öncelikli üç rolü engellemeden animasyon kapsamını, insan sahibini ve lisanslı kaynakları belirle.</x:v>
      </x:c>
      <x:c r="M63" s="18"/>
      <x:c r="N63" s="33" t="str">
        <x:v>outputs/gamechangers-pilot/roles/motion_designer.json, outputs/gamechangers-pilot/current-setup.json#/launch_sprint/motion</x:v>
      </x:c>
      <x:c r="O63" s="2"/>
    </x:row>
    <x:row r="64" ht="54" customHeight="1">
      <x:c r="A64" s="23" t="str">
        <x:v>H02</x:v>
      </x:c>
      <x:c r="B64" s="23" t="str">
        <x:v>Storyboard, kurgu, üretim ve render</x:v>
      </x:c>
      <x:c r="C64" s="23" t="str">
        <x:v>H · Animasyon</x:v>
      </x:c>
      <x:c r="D64" s="23" t="str">
        <x:v>P2</x:v>
      </x:c>
      <x:c r="E64" s="24" t="str">
        <x:v>Tasarım sorumlusu atanacak</x:v>
      </x:c>
      <x:c r="F64" s="24" t="str">
        <x:v>Başlanmadı</x:v>
      </x:c>
      <x:c r="G64" s="28" t="n">
        <x:v>0</x:v>
      </x:c>
      <x:c r="H64" s="30" t="n">
        <x:v>2</x:v>
      </x:c>
      <x:c r="I64" s="23" t="str">
        <x:v>H01, D04, D06</x:v>
      </x:c>
      <x:c r="J64" s="23" t="str">
        <x:v>Tanımlı animasyon işinde onaylı metin/storyboard, süre, sahne ve ses planından düzenlenebilir proje ile final render üretiliyor.</x:v>
      </x:c>
      <x:c r="K64" s="31"/>
      <x:c r="L64" s="24" t="str">
        <x:v>Seçilen dar iç animasyon vakasını üret; proje/varlık bağlantıları ve render sürümünü kaydet.</x:v>
      </x:c>
      <x:c r="M64" s="18"/>
      <x:c r="N64" s="33" t="str">
        <x:v>outputs/gamechangers-pilot/roles/motion_designer.json</x:v>
      </x:c>
      <x:c r="O64" s="2"/>
    </x:row>
    <x:row r="65" ht="54" customHeight="1">
      <x:c r="A65" s="20" t="str">
        <x:v>H03</x:v>
      </x:c>
      <x:c r="B65" s="20" t="str">
        <x:v>Videoyu baştan sona izleme, ses ve çıktı QA</x:v>
      </x:c>
      <x:c r="C65" s="20" t="str">
        <x:v>H · Animasyon</x:v>
      </x:c>
      <x:c r="D65" s="20" t="str">
        <x:v>P2</x:v>
      </x:c>
      <x:c r="E65" s="24" t="str">
        <x:v>Tasarım sorumlusu atanacak</x:v>
      </x:c>
      <x:c r="F65" s="24" t="str">
        <x:v>Başlanmadı</x:v>
      </x:c>
      <x:c r="G65" s="28" t="n">
        <x:v>0</x:v>
      </x:c>
      <x:c r="H65" s="29" t="n">
        <x:v>2</x:v>
      </x:c>
      <x:c r="I65" s="20" t="str">
        <x:v>H02</x:v>
      </x:c>
      <x:c r="J65" s="20" t="str">
        <x:v>Final video baştan sona izlenmiş ve sesi dinlenmiş; senkron, altyazı, kare hızı, oran, süre, haklar ve son kare kontrol edilmiş; revizyon sonrası yeniden görülmüş.</x:v>
      </x:c>
      <x:c r="K65" s="31"/>
      <x:c r="L65" s="24" t="str">
        <x:v>Gerçek renderi görüntü ve ses birlikte kontrol et; kabul notunu final sürüme bağla.</x:v>
      </x:c>
      <x:c r="M65" s="18"/>
      <x:c r="N65" s="33" t="str">
        <x:v>outputs/gamechangers-pilot/roles/motion_designer.json</x:v>
      </x:c>
      <x:c r="O65" s="2"/>
    </x:row>
    <x:row r="66" ht="54" customHeight="1">
      <x:c r="A66" s="23" t="str">
        <x:v>I01</x:v>
      </x:c>
      <x:c r="B66" s="23" t="str">
        <x:v>Kritik olumsuz entegrasyon kabul testleri</x:v>
      </x:c>
      <x:c r="C66" s="23" t="str">
        <x:v>I · Kabul ve canlı</x:v>
      </x:c>
      <x:c r="D66" s="23" t="str">
        <x:v>P0</x:v>
      </x:c>
      <x:c r="E66" s="24" t="str">
        <x:v>Teknik Kurulum</x:v>
      </x:c>
      <x:c r="F66" s="24" t="str">
        <x:v>Başlanmadı</x:v>
      </x:c>
      <x:c r="G66" s="28" t="n">
        <x:v>0</x:v>
      </x:c>
      <x:c r="H66" s="30" t="n">
        <x:v>1.5</x:v>
      </x:c>
      <x:c r="I66" s="23" t="str">
        <x:v>B07, E04, E06, E07, E09, D08, D09, D10</x:v>
      </x:c>
      <x:c r="J66" s="23" t="str">
        <x:v>Gerçek iç ortamda yanlış marka/alıcı, hariç To/CC, insan devri, eski sürüm, kesinti, tekrar ve belirsiz yazma güvenli duruyor; mail/ekteki kural değiştirme talimatı yetki kazanmıyor; kanıtları kayıtlı.</x:v>
      </x:c>
      <x:c r="K66" s="31"/>
      <x:c r="L66" s="24" t="str">
        <x:v>Önceden tanımlı olumsuz vaka setini bağlı hizmetlerde çalıştır; her başarısız kapıyı kapatıp tekrar doğrula.</x:v>
      </x:c>
      <x:c r="M66" s="18"/>
      <x:c r="N66" s="33" t="str">
        <x:v>outputs/gamechangers-pilot/offline/test-results.json, outputs/gamechangers-pilot/current-setup.json#/activation_gates</x:v>
      </x:c>
      <x:c r="O66" s="2"/>
    </x:row>
    <x:row r="67" ht="54" customHeight="1">
      <x:c r="A67" s="20" t="str">
        <x:v>I02</x:v>
      </x:c>
      <x:c r="B67" s="20" t="str">
        <x:v>Kör tarihî yeniden oynatma ve gölge değerlendirme</x:v>
      </x:c>
      <x:c r="C67" s="20" t="str">
        <x:v>I · Kabul ve canlı</x:v>
      </x:c>
      <x:c r="D67" s="20" t="str">
        <x:v>P0</x:v>
      </x:c>
      <x:c r="E67" s="24" t="str">
        <x:v>Cansu</x:v>
      </x:c>
      <x:c r="F67" s="24" t="str">
        <x:v>Başlanmadı</x:v>
      </x:c>
      <x:c r="G67" s="28" t="n">
        <x:v>0</x:v>
      </x:c>
      <x:c r="H67" s="29" t="n">
        <x:v>1.5</x:v>
      </x:c>
      <x:c r="I67" s="20" t="str">
        <x:v>C02, E05, E06, F04, G04</x:v>
      </x:c>
      <x:c r="J67" s="20" t="str">
        <x:v>Seçilmiş tarihî vakalar beklenen kararlar önceden modele verilmeden gölgede değerlendiriliyor; özgün başlık/kararlar korunuyor; müşteri maili veya üretim Basecamp işlemi oluşmuyor.</x:v>
      </x:c>
      <x:c r="K67" s="31"/>
      <x:c r="L67" s="24" t="str">
        <x:v>Kaynakları ve değerlendirme anahtarını ayır; kör vaka setini çalıştırıp rota/brief/çıktı hatalarını sınıflandır.</x:v>
      </x:c>
      <x:c r="M67" s="18"/>
      <x:c r="N67" s="33" t="str">
        <x:v>outputs/gamechangers-pilot/current-setup.json#/launch_sprint/saturday_evaluation</x:v>
      </x:c>
      <x:c r="O67" s="2"/>
    </x:row>
    <x:row r="68" ht="54" customHeight="1">
      <x:c r="A68" s="23" t="str">
        <x:v>I03</x:v>
      </x:c>
      <x:c r="B68" s="23" t="str">
        <x:v>Gamechangers iç uçtan uca demo</x:v>
      </x:c>
      <x:c r="C68" s="23" t="str">
        <x:v>I · Kabul ve canlı</x:v>
      </x:c>
      <x:c r="D68" s="23" t="str">
        <x:v>P0</x:v>
      </x:c>
      <x:c r="E68" s="24" t="str">
        <x:v>Cansu</x:v>
      </x:c>
      <x:c r="F68" s="24" t="str">
        <x:v>Başlanmadı</x:v>
      </x:c>
      <x:c r="G68" s="28" t="n">
        <x:v>0</x:v>
      </x:c>
      <x:c r="H68" s="30" t="n">
        <x:v>1</x:v>
      </x:c>
      <x:c r="I68" s="23" t="str">
        <x:v>I01, E08, F05, G05</x:v>
      </x:c>
      <x:c r="J68" s="23" t="str">
        <x:v>Ahmet'in açık To/CC ile Hamle'ye gönderdiği yeni iç talep gerçek giriş→brief→metin/grafik→Basecamp revizyon→kontrollü teslim ve özet döngüsünü tamamlıyor.</x:v>
      </x:c>
      <x:c r="K68" s="31"/>
      <x:c r="L68" s="24" t="str">
        <x:v>Yeni ve açıkça iç test olan talebi çalıştır; her adımı gerçek kayıt ve dosya sürümüyle doğrula.</x:v>
      </x:c>
      <x:c r="M68" s="18"/>
      <x:c r="N68" s="33" t="str">
        <x:v>outputs/gamechangers-pilot/current-setup.json#/launch_sprint/saturday_evaluation, outputs/Hamle_Baglanti_Durumu_2026-10-09.json</x:v>
      </x:c>
      <x:c r="O68" s="2"/>
    </x:row>
    <x:row r="69" ht="68" customHeight="1">
      <x:c r="A69" s="20" t="str">
        <x:v>I04</x:v>
      </x:c>
      <x:c r="B69" s="20" t="str">
        <x:v>Açık iş geçiş mutabakatı ve geri dönüş planı</x:v>
      </x:c>
      <x:c r="C69" s="20" t="str">
        <x:v>I · Kabul ve canlı</x:v>
      </x:c>
      <x:c r="D69" s="20" t="str">
        <x:v>P0</x:v>
      </x:c>
      <x:c r="E69" s="24" t="str">
        <x:v>Cansu</x:v>
      </x:c>
      <x:c r="F69" s="24" t="str">
        <x:v>Bekliyor</x:v>
      </x:c>
      <x:c r="G69" s="28" t="n">
        <x:v>0</x:v>
      </x:c>
      <x:c r="H69" s="29" t="n">
        <x:v>1.5</x:v>
      </x:c>
      <x:c r="I69" s="20" t="str">
        <x:v>A04, A05, B10, I03</x:v>
      </x:c>
      <x:c r="J69" s="20" t="str">
        <x:v>Başlangıç anında açık işler, son insan yanıtları, sahipler ve geçerli sürümler uzlaştırılmış; canlı sınırı/stop/insana dönüş yolu ve rollback sorumlusu kayıtlı.</x:v>
      </x:c>
      <x:c r="K69" s="31"/>
      <x:c r="L69" s="24" t="str">
        <x:v>İlk canlı kapsamı ve açık iş listesini insan sahiplerle karşılaştır; eski işleri yeniden açmadan başlangıç kaydını oluştur.</x:v>
      </x:c>
      <x:c r="M69" s="18"/>
      <x:c r="N69" s="33" t="str">
        <x:v>outputs/gamechangers-pilot/current-setup.json#/production_environment, outputs/gamechangers-pilot/current-setup.json#/activation_gates</x:v>
      </x:c>
      <x:c r="O69" s="2"/>
    </x:row>
    <x:row r="70" ht="68" customHeight="1">
      <x:c r="A70" s="23" t="str">
        <x:v>I05</x:v>
      </x:c>
      <x:c r="B70" s="23" t="str">
        <x:v>Sınırlı rutin canlı kullanım ve izleme</x:v>
      </x:c>
      <x:c r="C70" s="23" t="str">
        <x:v>I · Kabul ve canlı</x:v>
      </x:c>
      <x:c r="D70" s="23" t="str">
        <x:v>P0</x:v>
      </x:c>
      <x:c r="E70" s="24" t="str">
        <x:v>Ahmet</x:v>
      </x:c>
      <x:c r="F70" s="24" t="str">
        <x:v>Başlanmadı</x:v>
      </x:c>
      <x:c r="G70" s="28" t="n">
        <x:v>0</x:v>
      </x:c>
      <x:c r="H70" s="30" t="n">
        <x:v>1.5</x:v>
      </x:c>
      <x:c r="I70" s="23" t="str">
        <x:v>I04, I03, D08, I01, I02, A06, C09</x:v>
      </x:c>
      <x:c r="J70" s="23" t="str">
        <x:v>IN13 marka/hizmet kaydında sekiz canlı koşulu ve ilgili bağımlılıklar kanıtlı; yalnız bu kapsamda gerçek olaylar işleniyor. En az bir tam 21 turluk iş gününde olay/kayıt eşleşmesi, hata ve devirler izleniyor.</x:v>
      </x:c>
      <x:c r="K70" s="31"/>
      <x:c r="L70" s="24" t="str">
        <x:v>Kabulü geçen sınırı aç; 12–13 Ekim ancak koşullar sağlanırsa takip penceresi olarak kullan ve günlük durumu kaydet.</x:v>
      </x:c>
      <x:c r="M70" s="18"/>
      <x:c r="N70" s="33" t="str">
        <x:v>outputs/gamechangers-pilot/current-setup.json#/launch_sprint/one_hundred_percent_definition, outputs/gamechangers-pilot/current-setup.json#/production_environment</x:v>
      </x:c>
      <x:c r="O70" s="2"/>
    </x:row>
    <x:row r="71" ht="54" customHeight="1">
      <x:c r="A71" s="20" t="str">
        <x:v>I06</x:v>
      </x:c>
      <x:c r="B71" s="20" t="str">
        <x:v>Dört rol ve çok marka için genişletilmiş üretim kabulü</x:v>
      </x:c>
      <x:c r="C71" s="20" t="str">
        <x:v>I · Kabul ve canlı</x:v>
      </x:c>
      <x:c r="D71" s="20" t="str">
        <x:v>P2</x:v>
      </x:c>
      <x:c r="E71" s="24" t="str">
        <x:v>Ahmet</x:v>
      </x:c>
      <x:c r="F71" s="24" t="str">
        <x:v>Başlanmadı</x:v>
      </x:c>
      <x:c r="G71" s="28" t="n">
        <x:v>0</x:v>
      </x:c>
      <x:c r="H71" s="29" t="n">
        <x:v>1</x:v>
      </x:c>
      <x:c r="I71" s="20" t="str">
        <x:v>I05, H03, F05, G05</x:v>
      </x:c>
      <x:c r="J71" s="20" t="str">
        <x:v>Dört rolün açılacak yetenekleri ve tüm etkin markaların ayrı erişim/kalite/teslim kontrolleri geçti; genişletme sınırları ve sorumlular yazılı.</x:v>
      </x:c>
      <x:c r="K71" s="31"/>
      <x:c r="L71" s="24" t="str">
        <x:v>Önce dar canlı bulgularını düzelt; animasyon ve ek marka/yetenekleri kendi kabul kanıtlarıyla kademeli aç.</x:v>
      </x:c>
      <x:c r="M71" s="18"/>
      <x:c r="N71" s="33" t="str">
        <x:v>outputs/gamechangers-pilot/current-setup.json#/brand_rollout_policy, outputs/gamechangers-pilot/current-setup.json#/launch_sprint</x:v>
      </x:c>
      <x:c r="O71" s="2"/>
    </x:row>
  </x:sheetData>
  <x:conditionalFormatting sqref="G7:G71">
    <x:cfRule type="cellIs" dxfId="0" priority="1" operator="equal">
      <x:formula>1</x:formula>
    </x:cfRule>
  </x:conditionalFormatting>
  <x:conditionalFormatting sqref="F7:F71">
    <x:cfRule type="containsText" dxfId="1" priority="2" operator="containsText" text="Bekliyor"/>
  </x:conditionalFormatting>
  <x:dataValidations count="2">
    <x:dataValidation type="list" sqref="F7:F71">
      <x:formula1>"Tamamlandı,Devam ediyor,Bekliyor,Başlanmadı,Kontrol bekliyor"</x:formula1>
    </x:dataValidation>
    <x:dataValidation type="whole" operator="between" sqref="G7:G71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8b51f03b3f34026"/>
  </x:tableParts>
</x:worksheet>
</file>

<file path=xl/worksheets/sheet3.xml><?xml version="1.0" encoding="utf-8"?>
<x:worksheet xmlns:x="http://schemas.openxmlformats.org/spreadsheetml/2006/main">
  <x:sheetPr>
    <x:tabColor rgb="FFBC95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55" hidden="0" customWidth="1"/>
    <x:col min="3" max="3" width="25" hidden="0" customWidth="1"/>
    <x:col min="4" max="4" width="27" hidden="0" customWidth="1"/>
    <x:col min="5" max="5" width="43" hidden="0" customWidth="1"/>
    <x:col min="6" max="6" width="51" hidden="0" customWidth="1"/>
    <x:col min="7" max="7" width="30" hidden="0" customWidth="1"/>
    <x:col min="8" max="8" width="53" hidden="0" customWidth="1"/>
    <x:col min="9" max="9" width="3" hidden="0" customWidth="1"/>
    <x:col min="10" max="10" width="6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Gerekli girdiler ve kararlar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4"/>
      <x:c r="F3" s="4"/>
      <x:c r="G3" s="4"/>
      <x:c r="H3" s="4"/>
      <x:c r="I3" s="2"/>
      <x:c r="J3" s="2"/>
    </x:row>
    <x:row r="4" ht="22" customHeight="1">
      <x:c r="A4" s="5" t="str">
        <x:v>Yanıt / karar alanı sarıdır. Bilinmeyen bilgi için tahmin girilmez.</x:v>
      </x:c>
      <x:c r="B4" s="5"/>
      <x:c r="C4" s="5"/>
      <x:c r="D4" s="5"/>
      <x:c r="E4" s="5"/>
      <x:c r="F4" s="5"/>
      <x:c r="G4" s="5"/>
      <x:c r="H4" s="5"/>
      <x:c r="I4" s="2"/>
      <x:c r="J4" s="2"/>
    </x:row>
    <x:row r="5" ht="22" customHeight="1">
      <x:c r="A5" s="5" t="str">
        <x:v>Bu liste kurulum ve canlıya geçişte hangi bilginin kimden beklendiğini gösterir.</x:v>
      </x:c>
      <x:c r="B5" s="5"/>
      <x:c r="C5" s="5"/>
      <x:c r="D5" s="5"/>
      <x:c r="E5" s="5"/>
      <x:c r="F5" s="5"/>
      <x:c r="G5" s="5"/>
      <x:c r="H5" s="5"/>
      <x:c r="I5" s="2"/>
      <x:c r="J5" s="2"/>
    </x:row>
    <x:row r="6" ht="34" customHeight="1">
      <x:c r="A6" s="14" t="str">
        <x:v>Kod</x:v>
      </x:c>
      <x:c r="B6" s="15" t="str">
        <x:v>Gerekli bilgi / karar</x:v>
      </x:c>
      <x:c r="C6" s="15" t="str">
        <x:v>Sorumlu</x:v>
      </x:c>
      <x:c r="D6" s="15" t="str">
        <x:v>Gerekli aşama</x:v>
      </x:c>
      <x:c r="E6" s="15" t="str">
        <x:v>Mevcut durum</x:v>
      </x:c>
      <x:c r="F6" s="15" t="str">
        <x:v>Yanıt / karar</x:v>
      </x:c>
      <x:c r="G6" s="15" t="str">
        <x:v>Etkilenen işler</x:v>
      </x:c>
      <x:c r="H6" s="16" t="str">
        <x:v>Tamamlanma ölçütü</x:v>
      </x:c>
      <x:c r="I6" s="34" t="str">
        <x:v> </x:v>
      </x:c>
      <x:c r="J6" s="32" t="str">
        <x:v>Kayıt / kaynak</x:v>
      </x:c>
    </x:row>
    <x:row r="7" ht="82" customHeight="1">
      <x:c r="A7" s="20" t="str">
        <x:v>IN01</x:v>
      </x:c>
      <x:c r="B7" s="20" t="str">
        <x:v>Hazırlanan Desktop OAuth istemcisi ve özel saklama kararı</x:v>
      </x:c>
      <x:c r="C7" s="20" t="str">
        <x:v>Ahmet</x:v>
      </x:c>
      <x:c r="D7" s="20" t="str">
        <x:v>B04 başlamadan</x:v>
      </x:c>
      <x:c r="E7" s="20" t="str">
        <x:v>Tamamlandı</x:v>
      </x:c>
      <x:c r="F7" s="24" t="str">
        <x:v>Kullanıcı istemci, yeni gizli bilgi, özel yerel saklama ve posta iznini onayladı. Hamle OAuth kimliği ve API testi doğrulandı; kimlik bilgisi bu tabloda tutulmaz.</x:v>
      </x:c>
      <x:c r="G7" s="20" t="str">
        <x:v>B04, B05</x:v>
      </x:c>
      <x:c r="H7" s="20" t="str">
        <x:v>İstemci oluşturma, AI agent seçimi ve özel yerel saklama için somut karar kayıtlı; parola veya sır bu belgeye yazılmaz.</x:v>
      </x:c>
      <x:c r="I7" s="18"/>
      <x:c r="J7" s="33" t="str">
        <x:v>outputs/Hamle_Google_Cloud_Kurulum_2026-10-09.json#/oauth_client_secret_addition_approval, outputs/Hamle_Google_Cloud_Kurulum_2026-10-09.json#/oauth_client_storage_authorized, outputs/Hamle_Gmail_API_Kaniti_2026-10-09.json#/consent_explicitly_approved</x:v>
      </x:c>
    </x:row>
    <x:row r="8" ht="68" customHeight="1">
      <x:c r="A8" s="23" t="str">
        <x:v>IN02</x:v>
      </x:c>
      <x:c r="B8" s="23" t="str">
        <x:v>9 Ekim sonrası ortak test ve işletim bütçesi</x:v>
      </x:c>
      <x:c r="C8" s="23" t="str">
        <x:v>Ahmet</x:v>
      </x:c>
      <x:c r="D8" s="23" t="str">
        <x:v>Yeni ücretli işlemden önce</x:v>
      </x:c>
      <x:c r="E8" s="23" t="str">
        <x:v>Karar alındı</x:v>
      </x:c>
      <x:c r="F8" s="24" t="str">
        <x:v>9–12 Ekim 2026, Pazartesi dahil: Google Cloud, OpenAI ve görsel üretim için ortak toplam 50 USD. Otomatik yenilenmez. Fiilî bütçe/durdurma kurulumu D02’de açık.</x:v>
      </x:c>
      <x:c r="G8" s="23" t="str">
        <x:v>A05, D02</x:v>
      </x:c>
      <x:c r="H8" s="23" t="str">
        <x:v>Dönem, sağlayıcılar/roller arasında ortak üst sınır, sınırda durdurma ve yenileme kararı yazılı; 8 Ekim 50 USD otomatik devretmiyor.</x:v>
      </x:c>
      <x:c r="I8" s="18"/>
      <x:c r="J8" s="33" t="str">
        <x:v>outputs/Hamle_Butce_Onayi_2026-10-09.json</x:v>
      </x:c>
    </x:row>
    <x:row r="9" ht="68" customHeight="1">
      <x:c r="A9" s="20" t="str">
        <x:v>IN03</x:v>
      </x:c>
      <x:c r="B9" s="20" t="str">
        <x:v>İstenen model/ayar ve gerekirse görünür alternatif kararı</x:v>
      </x:c>
      <x:c r="C9" s="20" t="str">
        <x:v>Ahmet</x:v>
      </x:c>
      <x:c r="D9" s="20" t="str">
        <x:v>D03 kabulünden önce</x:v>
      </x:c>
      <x:c r="E9" s="20" t="str">
        <x:v>Karar alındı</x:v>
      </x:c>
      <x:c r="F9" s="24" t="str">
        <x:v>Kullanıcı gpt-6-astra + max ile denemeyi onayladı. Resmî katalog desteği görüldü; hesap erişimi, API anahtarı ve gerçek çağrı henüz doğrulanmadı.</x:v>
      </x:c>
      <x:c r="G9" s="20" t="str">
        <x:v>A05, D03</x:v>
      </x:c>
      <x:c r="H9" s="20" t="str">
        <x:v>İstenen modelin resmî API desteği ve kullanıcının seçtiği ayar kayıtlı. İlk ultra tercihinin yerine Astra + max kullanıcı kararıyla seçildi; gerçek hesap kabulü D03’te ayrı.</x:v>
      </x:c>
      <x:c r="I9" s="18"/>
      <x:c r="J9" s="33" t="str">
        <x:v>outputs/Hamle_Model_API_On_Kontrol_2026-10-09.json</x:v>
      </x:c>
    </x:row>
    <x:row r="10" ht="60" customHeight="1">
      <x:c r="A10" s="23" t="str">
        <x:v>IN04</x:v>
      </x:c>
      <x:c r="B10" s="23" t="str">
        <x:v>Marka bazlı Basecamp hesap/proje/liste ve görünürlük listesi</x:v>
      </x:c>
      <x:c r="C10" s="23" t="str">
        <x:v>Ahmet</x:v>
      </x:c>
      <x:c r="D10" s="23" t="str">
        <x:v>B10 ve ilk müşteri kapsamından önce</x:v>
      </x:c>
      <x:c r="E10" s="23" t="str">
        <x:v>Bekliyor</x:v>
      </x:c>
      <x:c r="F10" s="24" t="str"/>
      <x:c r="G10" s="23" t="str">
        <x:v>A04, B10</x:v>
      </x:c>
      <x:c r="H10" s="23" t="str">
        <x:v>Yedi dış marka ve Gamechangers iç alanının ilgili projeleri, listeleri, müşteri görünürlüğü ve yetkili kişiler doğrulanır.</x:v>
      </x:c>
      <x:c r="I10" s="18"/>
      <x:c r="J10" s="33" t="str">
        <x:v>outputs/gamechangers-pilot/current-setup.json#/brand_registry</x:v>
      </x:c>
    </x:row>
    <x:row r="11" ht="60" customHeight="1">
      <x:c r="A11" s="20" t="str">
        <x:v>IN05</x:v>
      </x:c>
      <x:c r="B11" s="20" t="str">
        <x:v>Yetkili müşteri muhatapları ve alıcı/onay sınırları</x:v>
      </x:c>
      <x:c r="C11" s="20" t="str">
        <x:v>Cansu</x:v>
      </x:c>
      <x:c r="D11" s="20" t="str">
        <x:v>A04 ve E05 kabulünden önce</x:v>
      </x:c>
      <x:c r="E11" s="20" t="str">
        <x:v>Bekliyor</x:v>
      </x:c>
      <x:c r="F11" s="24" t="str"/>
      <x:c r="G11" s="20" t="str">
        <x:v>A04, E05, E07</x:v>
      </x:c>
      <x:c r="H11" s="20" t="str">
        <x:v>Her marka için kişi/adres, karar/onay konusu ve sınırlı gönderim kapsamı yazılı; alan adı eşleşmesi tek başına yetki sayılmaz.</x:v>
      </x:c>
      <x:c r="I11" s="18"/>
      <x:c r="J11" s="33" t="str">
        <x:v>outputs/gamechangers-pilot/current-setup.json#/brand_registry</x:v>
      </x:c>
    </x:row>
    <x:row r="12" ht="60" customHeight="1">
      <x:c r="A12" s="23" t="str">
        <x:v>IN06</x:v>
      </x:c>
      <x:c r="B12" s="23" t="str">
        <x:v>Hizmet kapsamı, revizyon, termin ve ticari yetki kuralları</x:v>
      </x:c>
      <x:c r="C12" s="23" t="str">
        <x:v>Ahmet</x:v>
      </x:c>
      <x:c r="D12" s="23" t="str">
        <x:v>A04/A05 ve canlı brief'ten önce</x:v>
      </x:c>
      <x:c r="E12" s="23" t="str">
        <x:v>Bekliyor</x:v>
      </x:c>
      <x:c r="F12" s="24" t="str"/>
      <x:c r="G12" s="23" t="str">
        <x:v>A04, A05, E05</x:v>
      </x:c>
      <x:c r="H12" s="23" t="str">
        <x:v>Marka bazlı hizmet/teslim/revizyon sınırları, doğrulanmış kapasite ve fiyat/indirim/yeni maliyet karar sahipleri belli.</x:v>
      </x:c>
      <x:c r="I12" s="18"/>
      <x:c r="J12" s="33" t="str">
        <x:v>outputs/gamechangers-pilot/current-setup.json#/authority, outputs/gamechangers-pilot/current-setup.json#/brand_registry</x:v>
      </x:c>
    </x:row>
    <x:row r="13" ht="60" customHeight="1">
      <x:c r="A13" s="20" t="str">
        <x:v>IN07</x:v>
      </x:c>
      <x:c r="B13" s="20" t="str">
        <x:v>İnsan iş sahipleri, kapasite ve devralma sorumluları</x:v>
      </x:c>
      <x:c r="C13" s="20" t="str">
        <x:v>Cansu</x:v>
      </x:c>
      <x:c r="D13" s="20" t="str">
        <x:v>A06/E05 başlamadan</x:v>
      </x:c>
      <x:c r="E13" s="20" t="str">
        <x:v>Bekliyor</x:v>
      </x:c>
      <x:c r="F13" s="24" t="str"/>
      <x:c r="G13" s="20" t="str">
        <x:v>A06, E05, E06, F05, G05</x:v>
      </x:c>
      <x:c r="H13" s="20" t="str">
        <x:v>Metin, tasarım, animasyon ve müşteri akışı için insan sahipler atanmış; uygunluk/termin ve yedek devralma yolu kabul edilmiş.</x:v>
      </x:c>
      <x:c r="I13" s="18"/>
      <x:c r="J13" s="33" t="str">
        <x:v>outputs/gamechangers-pilot/current-setup.json#/activation_gates, outputs/gamechangers-pilot/templates/handoff.template.json</x:v>
      </x:c>
    </x:row>
    <x:row r="14" ht="60" customHeight="1">
      <x:c r="A14" s="23" t="str">
        <x:v>IN08</x:v>
      </x:c>
      <x:c r="B14" s="23" t="str">
        <x:v>Güncel marka varlıkları ve font/görsel lisansları</x:v>
      </x:c>
      <x:c r="C14" s="23" t="str">
        <x:v>Tasarım sorumlusu atanacak</x:v>
      </x:c>
      <x:c r="D14" s="23" t="str">
        <x:v>C04/C05/G01 üretim kabulünden önce</x:v>
      </x:c>
      <x:c r="E14" s="23" t="str">
        <x:v>Bekliyor</x:v>
      </x:c>
      <x:c r="F14" s="24" t="str"/>
      <x:c r="G14" s="23" t="str">
        <x:v>C04, C05, G01</x:v>
      </x:c>
      <x:c r="H14" s="23" t="str">
        <x:v>Logo, font, renk, şablon, görsel ve kaynak proje dosyaları güncel sürüm ve kullanım hakkıyla teslim edilmiş.</x:v>
      </x:c>
      <x:c r="I14" s="18"/>
      <x:c r="J14" s="33" t="str">
        <x:v>outputs/gamechangers-pilot/coverage.json#/attachments, outputs/gamechangers-pilot/roles/graphic_designer.json</x:v>
      </x:c>
    </x:row>
    <x:row r="15" ht="68" customHeight="1">
      <x:c r="A15" s="20" t="str">
        <x:v>IN09</x:v>
      </x:c>
      <x:c r="B15" s="20" t="str">
        <x:v>Onaylı ürün/hizmet gerçekleri, dil ve reddedilmiş yönler</x:v>
      </x:c>
      <x:c r="C15" s="20" t="str">
        <x:v>Cansu</x:v>
      </x:c>
      <x:c r="D15" s="20" t="str">
        <x:v>C05/F02/F04 kabulünden önce</x:v>
      </x:c>
      <x:c r="E15" s="20" t="str">
        <x:v>Bekliyor</x:v>
      </x:c>
      <x:c r="F15" s="24" t="str"/>
      <x:c r="G15" s="20" t="str">
        <x:v>C05, F02, F04</x:v>
      </x:c>
      <x:c r="H15" s="20" t="str">
        <x:v>Güncel iddia/ürün bilgisi, marka tonu ve müşteri retleri kaynak/sürüm sahibiyle belli; eski örnek fiyat veya sağlık iddiası gerçek/onay yerine kullanılmaz.</x:v>
      </x:c>
      <x:c r="I15" s="18"/>
      <x:c r="J15" s="33" t="str">
        <x:v>outputs/gamechangers-pilot/templates/brand-dossier.template.json, outputs/gamechangers-pilot/roles/copywriter.json</x:v>
      </x:c>
    </x:row>
    <x:row r="16" ht="60" customHeight="1">
      <x:c r="A16" s="23" t="str">
        <x:v>IN10</x:v>
      </x:c>
      <x:c r="B16" s="23" t="str">
        <x:v>Yetkili doğum günleri ve marka özel tarihleri</x:v>
      </x:c>
      <x:c r="C16" s="23" t="str">
        <x:v>Özge</x:v>
      </x:c>
      <x:c r="D16" s="23" t="str">
        <x:v>C06/E08 zamanlanmadan önce</x:v>
      </x:c>
      <x:c r="E16" s="23" t="str">
        <x:v>Bekliyor</x:v>
      </x:c>
      <x:c r="F16" s="24" t="str"/>
      <x:c r="G16" s="23" t="str">
        <x:v>C06, E08</x:v>
      </x:c>
      <x:c r="H16" s="23" t="str">
        <x:v>Gerekli doğum günü gün/ayları yetkili kaynaktan; marka tarihleri resmi kaynaktan doğrulanmış; plan ve hatırlatma sahipleri belli.</x:v>
      </x:c>
      <x:c r="I16" s="18"/>
      <x:c r="J16" s="33" t="str">
        <x:v>outputs/gamechangers-pilot/current-setup.json#/proactive_dates</x:v>
      </x:c>
    </x:row>
    <x:row r="17" ht="60" customHeight="1">
      <x:c r="A17" s="20" t="str">
        <x:v>IN11</x:v>
      </x:c>
      <x:c r="B17" s="20" t="str">
        <x:v>Bulut/faturalama sahibi ve üretim erişim sorumluları</x:v>
      </x:c>
      <x:c r="C17" s="20" t="str">
        <x:v>Ahmet</x:v>
      </x:c>
      <x:c r="D17" s="20" t="str">
        <x:v>D02/D04/D06 kurulmadan önce</x:v>
      </x:c>
      <x:c r="E17" s="20" t="str">
        <x:v>Bekliyor</x:v>
      </x:c>
      <x:c r="F17" s="24" t="str"/>
      <x:c r="G17" s="20" t="str">
        <x:v>D02, D04, D06, D10</x:v>
      </x:c>
      <x:c r="H17" s="20" t="str">
        <x:v>Kurumsal proje, faturalama, sır erişimi, OAuth yönetimi ve hizmet hesabı işlemleri için yetkili insan sahipleri net.</x:v>
      </x:c>
      <x:c r="I17" s="18"/>
      <x:c r="J17" s="33" t="str">
        <x:v>outputs/Hamle_Google_Cloud_Kurulum_2026-10-09.json, outputs/gamechangers-pilot/current-setup.json#/deployment_recommendation</x:v>
      </x:c>
    </x:row>
    <x:row r="18" ht="68" customHeight="1">
      <x:c r="A18" s="23" t="str">
        <x:v>IN12</x:v>
      </x:c>
      <x:c r="B18" s="23" t="str">
        <x:v>Tatil kuralı, alarm alıcısı ve durdurma kanalı</x:v>
      </x:c>
      <x:c r="C18" s="23" t="str">
        <x:v>Ahmet</x:v>
      </x:c>
      <x:c r="D18" s="23" t="str">
        <x:v>A06/D07/D08/E04 kabulünden önce</x:v>
      </x:c>
      <x:c r="E18" s="23" t="str">
        <x:v>Bekliyor</x:v>
      </x:c>
      <x:c r="F18" s="24" t="str"/>
      <x:c r="G18" s="23" t="str">
        <x:v>A06, D07, D08, E04</x:v>
      </x:c>
      <x:c r="H18" s="23" t="str">
        <x:v>Hafta içi takvim/tatil tercihi, alarm hedefi ve insanın açık stop/devralma bildirimi vereceği yol kayıtlı; görünmeyen mail tespiti vaat edilmiyor.</x:v>
      </x:c>
      <x:c r="I18" s="18"/>
      <x:c r="J18" s="33" t="str">
        <x:v>outputs/gamechangers-pilot/current-setup.json#/schedule, outputs/gamechangers-pilot/current-setup.json#/stop_control, outputs/gamechangers-pilot/current-setup.json#/message_participation_gate</x:v>
      </x:c>
    </x:row>
    <x:row r="19" ht="68" customHeight="1">
      <x:c r="A19" s="20" t="str">
        <x:v>IN13</x:v>
      </x:c>
      <x:c r="B19" s="20" t="str">
        <x:v>Marka ve hizmet bazlı canlı kabul kaydı, açık işler ve saklama kararları</x:v>
      </x:c>
      <x:c r="C19" s="20" t="str">
        <x:v>Cansu</x:v>
      </x:c>
      <x:c r="D19" s="20" t="str">
        <x:v>C09/I04/I05 öncesinde</x:v>
      </x:c>
      <x:c r="E19" s="20" t="str">
        <x:v>Bekliyor</x:v>
      </x:c>
      <x:c r="F19" s="24" t="str"/>
      <x:c r="G19" s="20" t="str">
        <x:v>C09, I04, I05, A06</x:v>
      </x:c>
      <x:c r="H19" s="20" t="str">
        <x:v>Her açılacak marka × hizmet için sekiz canlı koşulunun kanıtı, insan sahibi, açılma tarihi ve stop kaydı var; portföy geneli puanı ile alt kapsam kabulü ayrı tutuluyor.</x:v>
      </x:c>
      <x:c r="I19" s="18"/>
      <x:c r="J19" s="33" t="str">
        <x:v>outputs/gamechangers-pilot/current-setup.json#/production_environment, outputs/gamechangers-pilot/current-setup.json#/storage</x:v>
      </x:c>
    </x:row>
    <x:row r="20" ht="60" customHeight="1">
      <x:c r="A20" s="23" t="str">
        <x:v>IN14</x:v>
      </x:c>
      <x:c r="B20" s="23" t="str">
        <x:v>İlk grafik formatları ve animasyon genişleme kapsamı</x:v>
      </x:c>
      <x:c r="C20" s="23" t="str">
        <x:v>Tasarım sorumlusu atanacak</x:v>
      </x:c>
      <x:c r="D20" s="23" t="str">
        <x:v>G03 ve H01 başlamadan</x:v>
      </x:c>
      <x:c r="E20" s="23" t="str">
        <x:v>Bekliyor</x:v>
      </x:c>
      <x:c r="F20" s="24" t="str"/>
      <x:c r="G20" s="23" t="str">
        <x:v>G03, G04, G05, H01, H02, H03, I06</x:v>
      </x:c>
      <x:c r="H20" s="23" t="str">
        <x:v>İlk canlı grafik ebatları/formatları, kaynak-final dosya beklentisi ve animasyonun ayrı araç/lisans/QA kapsamı belirlenmiş.</x:v>
      </x:c>
      <x:c r="I20" s="18"/>
      <x:c r="J20" s="33" t="str">
        <x:v>outputs/gamechangers-pilot/roles/graphic_designer.json, outputs/gamechangers-pilot/roles/motion_designer.json, outputs/gamechangers-pilot/current-setup.json#/launch_sprint/motion</x:v>
      </x:c>
    </x:row>
  </x:sheetData>
  <x:pageMargins left="0.7" right="0.7" top="0.75" bottom="0.75" header="0.3" footer="0.3"/>
  <x:tableParts count="1">
    <x:tablePart xmlns:r="http://schemas.openxmlformats.org/officeDocument/2006/relationships" r:id="Rc4182c7f624c40ac"/>
  </x:tableParts>
</x:worksheet>
</file>

<file path=xl/worksheets/sheet4.xml><?xml version="1.0" encoding="utf-8"?>
<x:worksheet xmlns:x="http://schemas.openxmlformats.org/spreadsheetml/2006/main">
  <x:sheetPr>
    <x:tabColor rgb="FF357A71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25" hidden="0" customWidth="1"/>
    <x:col min="2" max="2" width="66" hidden="0" customWidth="1"/>
    <x:col min="3" max="3" width="40" hidden="0" customWidth="1"/>
    <x:col min="4" max="4" width="92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Yeni Mac ve yeni konuşmaya devir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3" customHeight="1">
      <x:c r="A4" s="5" t="str">
        <x:v>10 Ekim 2026 devir sürümü; doğrulanmış işlem durumu 9 Ekim 2026 saat 23.59.</x:v>
      </x:c>
      <x:c r="B4" s="5"/>
      <x:c r="C4" s="5"/>
      <x:c r="D4" s="5"/>
    </x:row>
    <x:row r="5" ht="23" customHeight="1">
      <x:c r="A5" s="5" t="str">
        <x:v>Bu belgeler bilgi taşır; yazılımı, erişim sırlarını ve hesap bağlantılarını taşımaz.</x:v>
      </x:c>
      <x:c r="B5" s="5"/>
      <x:c r="C5" s="5"/>
      <x:c r="D5" s="5"/>
    </x:row>
    <x:row r="6" ht="24" customHeight="1">
      <x:c r="A6" s="2"/>
      <x:c r="B6" s="2"/>
      <x:c r="C6" s="2"/>
      <x:c r="D6" s="2"/>
    </x:row>
    <x:row r="7" ht="34" customHeight="1">
      <x:c r="A7" s="14" t="str">
        <x:v>Kalem</x:v>
      </x:c>
      <x:c r="B7" s="15" t="str">
        <x:v>Kaynak veya konum</x:v>
      </x:c>
      <x:c r="C7" s="15" t="str">
        <x:v>Mevcut durum</x:v>
      </x:c>
      <x:c r="D7" s="16" t="str">
        <x:v>Yeni Mac adımı</x:v>
      </x:c>
    </x:row>
    <x:row r="8" ht="72" customHeight="1">
      <x:c r="A8" s="60" t="str">
        <x:v>Google Cloud projesi</x:v>
      </x:c>
      <x:c r="B8" s="60" t="str">
        <x:v>gamechangers-hamle; kurumsal yönetici Ahmet</x:v>
      </x:c>
      <x:c r="C8" s="60" t="str">
        <x:v>Uzak hesapta mevcut</x:v>
      </x:c>
      <x:c r="D8" s="60" t="str">
        <x:v>Yeni Mac’te Ahmet hesabıyla aynı projeyi doğrula; sırf cihaz değişti diye yeniden oluşturma.</x:v>
      </x:c>
    </x:row>
    <x:row r="9" ht="72" customHeight="1">
      <x:c r="A9" s="23" t="str">
        <x:v>OAuth uygulaması</x:v>
      </x:c>
      <x:c r="B9" s="23" t="str">
        <x:v>Gamechangers Hamle; şirket içi; Desktop istemcisi</x:v>
      </x:c>
      <x:c r="C9" s="23" t="str">
        <x:v>Uzak kayıt mevcut</x:v>
      </x:c>
      <x:c r="D9" s="23" t="str">
        <x:v>Aynı uygulamayı doğrula. Yeni cihazın özel saklama/izin akışını ayrıca kur.</x:v>
      </x:c>
    </x:row>
    <x:row r="10" ht="72" customHeight="1">
      <x:c r="A10" s="60" t="str">
        <x:v>Gmail bağlantısı</x:v>
      </x:c>
      <x:c r="B10" s="60" t="str">
        <x:v>hamle@gamechangers.com.tr; bu Mac’te macOS Keychain</x:v>
      </x:c>
      <x:c r="C10" s="60" t="str">
        <x:v>Bu Mac’te iç API testi geçti</x:v>
      </x:c>
      <x:c r="D10" s="60" t="str">
        <x:v>Anahtarın taşındığını varsayma. Yeni cihazda güvenli saklama, Hamle profili, okuma, iç gönderim/teslim ve yenilemeyi yeniden doğrula.</x:v>
      </x:c>
    </x:row>
    <x:row r="11" ht="72" customHeight="1">
      <x:c r="A11" s="23" t="str">
        <x:v>Basecamp bağlantısı</x:v>
      </x:c>
      <x:c r="B11" s="23" t="str">
        <x:v>Hesap 5898865; profil hamle-gamechangers; yerel keyring</x:v>
      </x:c>
      <x:c r="C11" s="23" t="str">
        <x:v>Bu Mac’te API döngüsü geçti</x:v>
      </x:c>
      <x:c r="D11" s="23" t="str">
        <x:v>Yeni cihazda yerel bağlantıyı yeniden kur/doğrula; sırları Excel veya sohbete yazma.</x:v>
      </x:c>
    </x:row>
    <x:row r="12" ht="72" customHeight="1">
      <x:c r="A12" s="60" t="str">
        <x:v>Basecamp iç alanı</x:v>
      </x:c>
      <x:c r="B12" s="60" t="str">
        <x:v>Hamle — İç Deneme; proje 49184053; Hamle 53358100</x:v>
      </x:c>
      <x:c r="C12" s="60" t="str">
        <x:v>Yalnız iç test, müşteri görünürlüğü kapalı</x:v>
      </x:c>
      <x:c r="D12" s="60" t="str">
        <x:v>Aynı uzak kayıtları kullan; müşteri projelerine yetki çıkarımı yapma. B09 görev 10391849167.</x:v>
      </x:c>
    </x:row>
    <x:row r="13" ht="72" customHeight="1">
      <x:c r="A13" s="23" t="str">
        <x:v>OpenAI erişimi</x:v>
      </x:c>
      <x:c r="B13" s="23" t="str">
        <x:v>OpenAI Developers kuruldu; proje seçim akışı açıldı</x:v>
      </x:c>
      <x:c r="C13" s="23" t="str">
        <x:v>Hedef seçilmedi; API anahtarı yok</x:v>
      </x:c>
      <x:c r="D13" s="23" t="str">
        <x:v>Yeni Mac’te doğru kuruluş/proje seçimini ve güvenli anahtar kurulumunu tamamla. Hesap erişimi hâlâ doğrulanmalı.</x:v>
      </x:c>
    </x:row>
    <x:row r="14" ht="72" customHeight="1">
      <x:c r="A14" s="60" t="str">
        <x:v>Model ve bütçe</x:v>
      </x:c>
      <x:c r="B14" s="60" t="str">
        <x:v>Astra + max; 9–12 Ekim dahil ortak 50 USD</x:v>
      </x:c>
      <x:c r="C14" s="60" t="str">
        <x:v>Kullanıcı kararları alındı</x:v>
      </x:c>
      <x:c r="D14" s="60" t="str">
        <x:v>Google Cloud, OpenAI ve görsel üretimin toplamını sınırla. Fatura/gerçek kullanım ve durdurma kurulumu açık.</x:v>
      </x:c>
    </x:row>
    <x:row r="15" ht="72" customHeight="1">
      <x:c r="A15" s="23" t="str">
        <x:v>Yerel proje paketi</x:v>
      </x:c>
      <x:c r="B15" s="23" t="str">
        <x:v>work/project-tracker; work/hamle-workflow; work/hamle-gmail-connector; outputs/gamechangers-pilot</x:v>
      </x:c>
      <x:c r="C15" s="23" t="str">
        <x:v>Kaynaklar ve yazılım eski Mac’te</x:v>
      </x:c>
      <x:c r="D15" s="23" t="str">
        <x:v>Gerekli çalışma dosyalarını onaylı güvenli yoldan aktar. Ham özel mailleri ve erişim sırlarını sohbet ekine koyma.</x:v>
      </x:c>
    </x:row>
    <x:row r="16" ht="72" customHeight="1">
      <x:c r="A16" s="60" t="str">
        <x:v>Testler</x:v>
      </x:c>
      <x:c r="B16" s="60" t="str">
        <x:v>35 operasyon + 30 Gmail yardımcı + 54 posta normalleştirme/okuma testi</x:v>
      </x:c>
      <x:c r="C16" s="60" t="str">
        <x:v>Yerel sonuçlar geçti</x:v>
      </x:c>
      <x:c r="D16" s="60" t="str">
        <x:v>Yeni ortamda ilgili testleri yeniden çalıştır. Kendi giden mesajı için canlı engelleme geçti; gelen posta ve ekler açık.</x:v>
      </x:c>
    </x:row>
    <x:row r="17" ht="72" customHeight="1">
      <x:c r="A17" s="23" t="str">
        <x:v>Canlı çalışma</x:v>
      </x:c>
      <x:c r="B17" s="23" t="str">
        <x:v>27 / 100 puan; 19 / 65 iş; 0 / 4 canlı ajan</x:v>
      </x:c>
      <x:c r="C17" s="23" t="str">
        <x:v>Cloud çalışanı ve zamanlayıcı yok</x:v>
      </x:c>
      <x:c r="D17" s="23" t="str">
        <x:v>Bilgisayar kapalıyken çalışan hizmet kurulmadı. Yeni sohbet açmak sistemi çalıştırmaz.</x:v>
      </x:c>
    </x:row>
    <x:row r="18" ht="72" customHeight="1">
      <x:c r="A18" s="60" t="str">
        <x:v>Katılım kuralı</x:v>
      </x:c>
      <x:c r="B18" s="60" t="str">
        <x:v>Yalnız gerçek güncel To/CC; Hamle yoksa işlem yok</x:v>
      </x:c>
      <x:c r="C18" s="60" t="str">
        <x:v>Uygulama kabulü E03/E04 açık</x:v>
      </x:c>
      <x:c r="D18" s="60" t="str">
        <x:v>Görünmeyen CC çıkarma otomatik saptanmış sayılmaz. Açık stop/geri çekme olayı ve insan devralma kurulmalı.</x:v>
      </x:c>
    </x:row>
    <x:row r="19" ht="24" customHeight="1">
      <x:c r="A19" s="2"/>
      <x:c r="B19" s="2"/>
      <x:c r="C19" s="2"/>
      <x:c r="D19" s="2"/>
    </x:row>
    <x:row r="20" ht="25" customHeight="1">
      <x:c r="A20" s="5" t="str">
        <x:v>Önceki başlangıç</x:v>
      </x:c>
      <x:c r="B20" s="5" t="str">
        <x:v>V1: 22 puan / 15 tamam iş. Özgün dosyalar korundu.</x:v>
      </x:c>
      <x:c r="C20" s="5"/>
      <x:c r="D20" s="5"/>
    </x:row>
    <x:row r="21" ht="25" customHeight="1">
      <x:c r="A21" s="5" t="str">
        <x:v>Güncel durum</x:v>
      </x:c>
      <x:c r="B21" s="5" t="str">
        <x:v>27 puan / 19 tamam iş / 0 canlı ajan.</x:v>
      </x:c>
      <x:c r="C21" s="5"/>
      <x:c r="D21" s="5"/>
    </x:row>
    <x:row r="22" ht="25" customHeight="1">
      <x:c r="A22" s="5" t="str">
        <x:v>Sonraki sıra</x:v>
      </x:c>
      <x:c r="B22" s="5" t="str">
        <x:v>Cihaz bağlantıları → model/bütçe → posta yetkisi ve Cloud → iç demo → gölge kabul.</x:v>
      </x:c>
      <x:c r="C22" s="5"/>
      <x:c r="D22" s="5"/>
    </x:row>
  </x:sheetData>
  <x:pageMargins left="0.7" right="0.7" top="0.75" bottom="0.75" header="0.3" footer="0.3"/>
</x:worksheet>
</file>